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bd3cd5005048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1325302a812744a9"/>
    <x:sheet xmlns:r="http://schemas.openxmlformats.org/officeDocument/2006/relationships" name="Trade Inputs" sheetId="2" r:id="R023665ec5d4e4bcc"/>
    <x:sheet xmlns:r="http://schemas.openxmlformats.org/officeDocument/2006/relationships" name="Scenario P&amp;L" sheetId="3" r:id="R4957a7d16d274eb2"/>
    <x:sheet xmlns:r="http://schemas.openxmlformats.org/officeDocument/2006/relationships" name="Checks" sheetId="4" r:id="Raa570e507ece40e3"/>
    <x:sheet xmlns:r="http://schemas.openxmlformats.org/officeDocument/2006/relationships" name="Sources Audit" sheetId="5" r:id="Rfb3c68bbc28c46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$#,##0;[Red]($#,##0);-"/>
    <x:numFmt numFmtId="201" formatCode="0.0%"/>
    <x:numFmt numFmtId="202" formatCode="$#,##0"/>
    <x:numFmt numFmtId="203" formatCode="0"/>
    <x:numFmt numFmtId="204" formatCode="0.0%;[Red](0.0%);-"/>
  </x:numFmts>
  <x:fonts count="20">
    <x:font>
      <x:sz val="11"/>
      <x:name val="Carlito"/>
    </x:font>
    <x:font>
      <x:b/>
      <x:sz val="18"/>
      <x:color rgb="FFFFFFFF"/>
      <x:name val="Carlito"/>
    </x:font>
    <x:font>
      <x:b/>
      <x:sz val="11"/>
      <x:color rgb="FF7C4A03"/>
      <x:name val="Carlito"/>
    </x:font>
    <x:font>
      <x:b/>
      <x:sz val="11"/>
      <x:color rgb="FF102A43"/>
      <x:name val="Carlito"/>
    </x:font>
    <x:font>
      <x:b/>
      <x:sz val="11"/>
      <x:color rgb="FFFFFFFF"/>
      <x:name val="Carlito"/>
    </x:font>
    <x:font>
      <x:sz val="11"/>
      <x:color rgb="FF2563EB"/>
      <x:name val="Carlito"/>
    </x:font>
    <x:font>
      <x:sz val="11"/>
      <x:color rgb="FF000000"/>
      <x:name val="Carlito"/>
    </x:font>
    <x:font>
      <x:sz val="11"/>
      <x:color rgb="FF52606D"/>
      <x:name val="Carlito"/>
    </x:font>
    <x:font>
      <x:b/>
      <x:sz val="16"/>
      <x:color rgb="FFFFFFFF"/>
      <x:name val="Carlito"/>
    </x:font>
    <x:font>
      <x:sz val="11"/>
      <x:color rgb="FF7C4A03"/>
      <x:name val="Carlito"/>
    </x:font>
    <x:font>
      <x:b/>
      <x:sz val="18"/>
      <x:color rgb="FFFFFFFF"/>
      <x:name val="Aptos"/>
    </x:font>
    <x:font>
      <x:sz val="11"/>
      <x:name val="Aptos"/>
    </x:font>
    <x:font>
      <x:b/>
      <x:sz val="11"/>
      <x:color rgb="FF7C4A03"/>
      <x:name val="Aptos"/>
    </x:font>
    <x:font>
      <x:b/>
      <x:sz val="11"/>
      <x:color rgb="FF102A43"/>
      <x:name val="Aptos"/>
    </x:font>
    <x:font>
      <x:b/>
      <x:sz val="11"/>
      <x:color rgb="FFFFFFFF"/>
      <x:name val="Aptos"/>
    </x:font>
    <x:font>
      <x:sz val="11"/>
      <x:color rgb="FF2563EB"/>
      <x:name val="Aptos"/>
    </x:font>
    <x:font>
      <x:sz val="11"/>
      <x:color rgb="FF000000"/>
      <x:name val="Aptos"/>
    </x:font>
    <x:font>
      <x:sz val="11"/>
      <x:color rgb="FF52606D"/>
      <x:name val="Aptos"/>
    </x:font>
    <x:font>
      <x:b/>
      <x:sz val="16"/>
      <x:color rgb="FFFFFFFF"/>
      <x:name val="Aptos"/>
    </x:font>
    <x:font>
      <x:sz val="11"/>
      <x:color rgb="FF7C4A03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FFF4D6"/>
      </x:patternFill>
    </x:fill>
    <x:fill>
      <x:patternFill patternType="solid">
        <x:fgColor rgb="FFE8F5E9"/>
      </x:patternFill>
    </x:fill>
    <x:fill>
      <x:patternFill patternType="solid">
        <x:fgColor rgb="FFF5F7FA"/>
      </x:patternFill>
    </x:fill>
  </x:fills>
  <x:borders count="10">
    <x:border/>
    <x:border>
      <x:right style="thin">
        <x:color rgb="FFE4E7EB"/>
      </x:right>
      <x:bottom style="thin">
        <x:color rgb="FFE4E7EB"/>
      </x:bottom>
    </x:border>
    <x:border>
      <x:left style="thin">
        <x:color rgb="FFE4E7EB"/>
      </x:left>
      <x:right style="thin">
        <x:color rgb="FFE4E7EB"/>
      </x:right>
      <x:bottom style="thin">
        <x:color rgb="FFE4E7EB"/>
      </x:bottom>
    </x:border>
    <x:border>
      <x:left style="thin">
        <x:color rgb="FFE4E7EB"/>
      </x:left>
      <x:bottom style="thin">
        <x:color rgb="FFE4E7EB"/>
      </x:bottom>
    </x:border>
    <x:border>
      <x:right style="thin">
        <x:color rgb="FFE4E7EB"/>
      </x:right>
      <x:top style="thin">
        <x:color rgb="FFE4E7EB"/>
      </x:top>
      <x:bottom style="thin">
        <x:color rgb="FFE4E7EB"/>
      </x:bottom>
    </x:border>
    <x:border>
      <x:left style="thin">
        <x:color rgb="FFE4E7EB"/>
      </x:left>
      <x:right style="thin">
        <x:color rgb="FFE4E7EB"/>
      </x:right>
      <x:top style="thin">
        <x:color rgb="FFE4E7EB"/>
      </x:top>
      <x:bottom style="thin">
        <x:color rgb="FFE4E7EB"/>
      </x:bottom>
    </x:border>
    <x:border>
      <x:left style="thin">
        <x:color rgb="FFE4E7EB"/>
      </x:left>
      <x:top style="thin">
        <x:color rgb="FFE4E7EB"/>
      </x:top>
      <x:bottom style="thin">
        <x:color rgb="FFE4E7EB"/>
      </x:bottom>
    </x:border>
    <x:border>
      <x:right style="thin">
        <x:color rgb="FFE4E7EB"/>
      </x:right>
      <x:top style="thin">
        <x:color rgb="FFE4E7EB"/>
      </x:top>
    </x:border>
    <x:border>
      <x:left style="thin">
        <x:color rgb="FFE4E7EB"/>
      </x:left>
      <x:right style="thin">
        <x:color rgb="FFE4E7EB"/>
      </x:right>
      <x:top style="thin">
        <x:color rgb="FFE4E7EB"/>
      </x:top>
    </x:border>
    <x:border>
      <x:left style="thin">
        <x:color rgb="FFE4E7EB"/>
      </x:left>
      <x:top style="thin">
        <x:color rgb="FFE4E7EB"/>
      </x:top>
    </x:border>
  </x:borders>
  <x:cellStyleXfs count="1">
    <x:xf numFmtId="0" fontId="0" fillId="0" borderId="0"/>
  </x:cellStyleXfs>
  <x:cellXfs count="16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0" fillId="4" borderId="0" xfId="0" applyNumberFormat="1" applyFont="1" applyFill="1" applyBorder="1"/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/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200" fontId="5" fillId="0" borderId="0" xfId="0" applyNumberFormat="1" applyFont="1" applyFill="1" applyBorder="1" applyAlignment="1">
      <x:alignment wrapText="1"/>
    </x:xf>
    <x:xf numFmtId="201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/>
    <x:xf numFmtId="0" fontId="9" fillId="3" borderId="0" xfId="0" applyNumberFormat="1" applyFont="1" applyFill="1" applyBorder="1"/>
    <x:xf numFmtId="0" fontId="9" fillId="3" borderId="0" xfId="0" applyNumberFormat="1" applyFont="1" applyFill="1" applyBorder="1" applyAlignment="1">
      <x:alignment wrapText="1"/>
    </x:xf>
    <x:xf numFmtId="0" fontId="10" fillId="2" borderId="0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 applyAlignment="1">
      <x:alignment vertical="center"/>
    </x:xf>
    <x:xf numFmtId="0" fontId="12" fillId="3" borderId="0" xfId="0" applyNumberFormat="1" applyFont="1" applyFill="1" applyBorder="1" applyAlignment="1">
      <x:alignment vertical="center" wrapText="1"/>
    </x:xf>
    <x:xf numFmtId="0" fontId="13" fillId="0" borderId="0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 applyAlignment="1">
      <x:alignment vertical="center" wrapText="1"/>
    </x:xf>
    <x:xf numFmtId="0" fontId="14" fillId="2" borderId="0" xfId="0" applyNumberFormat="1" applyFont="1" applyFill="1" applyBorder="1" applyAlignment="1">
      <x:alignment vertical="center"/>
    </x:xf>
    <x:xf numFmtId="0" fontId="15" fillId="0" borderId="0" xfId="0" applyNumberFormat="1" applyFont="1" applyFill="1" applyBorder="1" applyAlignment="1">
      <x:alignment vertical="center"/>
    </x:xf>
    <x:xf numFmtId="0" fontId="16" fillId="0" borderId="0" xfId="0" applyNumberFormat="1" applyFont="1" applyFill="1" applyBorder="1" applyAlignment="1">
      <x:alignment vertical="center"/>
    </x:xf>
    <x:xf numFmtId="0" fontId="11" fillId="4" borderId="0" xfId="0" applyNumberFormat="1" applyFont="1" applyFill="1" applyBorder="1" applyAlignment="1">
      <x:alignment vertical="center"/>
    </x:xf>
    <x:xf numFmtId="0" fontId="17" fillId="5" borderId="0" xfId="0" applyNumberFormat="1" applyFont="1" applyFill="1" applyBorder="1" applyAlignment="1">
      <x:alignment vertical="center" wrapText="1"/>
    </x:xf>
    <x:xf numFmtId="0" fontId="10" fillId="2" borderId="1" xfId="0" applyNumberFormat="1" applyFont="1" applyFill="1" applyBorder="1" applyAlignment="1">
      <x:alignment vertical="center"/>
    </x:xf>
    <x:xf numFmtId="0" fontId="10" fillId="2" borderId="2" xfId="0" applyNumberFormat="1" applyFont="1" applyFill="1" applyBorder="1" applyAlignment="1">
      <x:alignment vertical="center"/>
    </x:xf>
    <x:xf numFmtId="0" fontId="10" fillId="2" borderId="3" xfId="0" applyNumberFormat="1" applyFont="1" applyFill="1" applyBorder="1" applyAlignment="1">
      <x:alignment vertical="center"/>
    </x:xf>
    <x:xf numFmtId="0" fontId="10" fillId="2" borderId="4" xfId="0" applyNumberFormat="1" applyFont="1" applyFill="1" applyBorder="1" applyAlignment="1">
      <x:alignment vertical="center"/>
    </x:xf>
    <x:xf numFmtId="0" fontId="10" fillId="2" borderId="5" xfId="0" applyNumberFormat="1" applyFont="1" applyFill="1" applyBorder="1" applyAlignment="1">
      <x:alignment vertical="center"/>
    </x:xf>
    <x:xf numFmtId="0" fontId="10" fillId="2" borderId="6" xfId="0" applyNumberFormat="1" applyFont="1" applyFill="1" applyBorder="1" applyAlignment="1">
      <x:alignment vertical="center"/>
    </x:xf>
    <x:xf numFmtId="0" fontId="11" fillId="0" borderId="4" xfId="0" applyNumberFormat="1" applyFont="1" applyFill="1" applyBorder="1" applyAlignment="1">
      <x:alignment vertical="center"/>
    </x:xf>
    <x:xf numFmtId="0" fontId="11" fillId="0" borderId="5" xfId="0" applyNumberFormat="1" applyFont="1" applyFill="1" applyBorder="1" applyAlignment="1">
      <x:alignment vertical="center"/>
    </x:xf>
    <x:xf numFmtId="0" fontId="11" fillId="0" borderId="6" xfId="0" applyNumberFormat="1" applyFont="1" applyFill="1" applyBorder="1" applyAlignment="1">
      <x:alignment vertical="center"/>
    </x:xf>
    <x:xf numFmtId="0" fontId="12" fillId="3" borderId="4" xfId="0" applyNumberFormat="1" applyFont="1" applyFill="1" applyBorder="1" applyAlignment="1">
      <x:alignment vertical="center" wrapText="1"/>
    </x:xf>
    <x:xf numFmtId="0" fontId="12" fillId="3" borderId="5" xfId="0" applyNumberFormat="1" applyFont="1" applyFill="1" applyBorder="1" applyAlignment="1">
      <x:alignment vertical="center" wrapText="1"/>
    </x:xf>
    <x:xf numFmtId="0" fontId="12" fillId="3" borderId="6" xfId="0" applyNumberFormat="1" applyFont="1" applyFill="1" applyBorder="1" applyAlignment="1">
      <x:alignment vertical="center" wrapText="1"/>
    </x:xf>
    <x:xf numFmtId="0" fontId="13" fillId="0" borderId="4" xfId="0" applyNumberFormat="1" applyFont="1" applyFill="1" applyBorder="1" applyAlignment="1">
      <x:alignment vertical="center"/>
    </x:xf>
    <x:xf numFmtId="0" fontId="11" fillId="0" borderId="5" xfId="0" applyNumberFormat="1" applyFont="1" applyFill="1" applyBorder="1" applyAlignment="1">
      <x:alignment vertical="center" wrapText="1"/>
    </x:xf>
    <x:xf numFmtId="0" fontId="14" fillId="2" borderId="4" xfId="0" applyNumberFormat="1" applyFont="1" applyFill="1" applyBorder="1" applyAlignment="1">
      <x:alignment vertical="center"/>
    </x:xf>
    <x:xf numFmtId="0" fontId="14" fillId="2" borderId="5" xfId="0" applyNumberFormat="1" applyFont="1" applyFill="1" applyBorder="1" applyAlignment="1">
      <x:alignment vertical="center"/>
    </x:xf>
    <x:xf numFmtId="0" fontId="15" fillId="0" borderId="5" xfId="0" applyNumberFormat="1" applyFont="1" applyFill="1" applyBorder="1" applyAlignment="1">
      <x:alignment vertical="center"/>
    </x:xf>
    <x:xf numFmtId="0" fontId="16" fillId="0" borderId="5" xfId="0" applyNumberFormat="1" applyFont="1" applyFill="1" applyBorder="1" applyAlignment="1">
      <x:alignment vertical="center"/>
    </x:xf>
    <x:xf numFmtId="0" fontId="11" fillId="4" borderId="5" xfId="0" applyNumberFormat="1" applyFont="1" applyFill="1" applyBorder="1" applyAlignment="1">
      <x:alignment vertical="center"/>
    </x:xf>
    <x:xf numFmtId="0" fontId="17" fillId="5" borderId="4" xfId="0" applyNumberFormat="1" applyFont="1" applyFill="1" applyBorder="1" applyAlignment="1">
      <x:alignment vertical="center" wrapText="1"/>
    </x:xf>
    <x:xf numFmtId="0" fontId="17" fillId="5" borderId="5" xfId="0" applyNumberFormat="1" applyFont="1" applyFill="1" applyBorder="1" applyAlignment="1">
      <x:alignment vertical="center" wrapText="1"/>
    </x:xf>
    <x:xf numFmtId="0" fontId="17" fillId="5" borderId="6" xfId="0" applyNumberFormat="1" applyFont="1" applyFill="1" applyBorder="1" applyAlignment="1">
      <x:alignment vertical="center" wrapText="1"/>
    </x:xf>
    <x:xf numFmtId="0" fontId="17" fillId="5" borderId="7" xfId="0" applyNumberFormat="1" applyFont="1" applyFill="1" applyBorder="1" applyAlignment="1">
      <x:alignment vertical="center" wrapText="1"/>
    </x:xf>
    <x:xf numFmtId="0" fontId="17" fillId="5" borderId="8" xfId="0" applyNumberFormat="1" applyFont="1" applyFill="1" applyBorder="1" applyAlignment="1">
      <x:alignment vertical="center" wrapText="1"/>
    </x:xf>
    <x:xf numFmtId="0" fontId="17" fillId="5" borderId="9" xfId="0" applyNumberFormat="1" applyFont="1" applyFill="1" applyBorder="1" applyAlignment="1">
      <x:alignment vertical="center" wrapText="1"/>
    </x:xf>
    <x:xf numFmtId="0" fontId="18" fillId="2" borderId="0" xfId="0" applyNumberFormat="1" applyFont="1" applyFill="1" applyBorder="1"/>
    <x:xf numFmtId="0" fontId="11" fillId="0" borderId="0" xfId="0" applyNumberFormat="1" applyFont="1" applyFill="1" applyBorder="1"/>
    <x:xf numFmtId="0" fontId="14" fillId="2" borderId="0" xfId="0" applyNumberFormat="1" applyFont="1" applyFill="1" applyBorder="1" applyAlignment="1">
      <x:alignment wrapText="1"/>
    </x:xf>
    <x:xf numFmtId="0" fontId="11" fillId="0" borderId="0" xfId="0" applyNumberFormat="1" applyFont="1" applyFill="1" applyBorder="1" applyAlignment="1">
      <x:alignment wrapText="1"/>
    </x:xf>
    <x:xf numFmtId="200" fontId="15" fillId="0" borderId="0" xfId="0" applyNumberFormat="1" applyFont="1" applyFill="1" applyBorder="1" applyAlignment="1">
      <x:alignment wrapText="1"/>
    </x:xf>
    <x:xf numFmtId="201" fontId="15" fillId="0" borderId="0" xfId="0" applyNumberFormat="1" applyFont="1" applyFill="1" applyBorder="1" applyAlignment="1">
      <x:alignment wrapText="1"/>
    </x:xf>
    <x:xf numFmtId="0" fontId="15" fillId="0" borderId="0" xfId="0" applyNumberFormat="1" applyFont="1" applyFill="1" applyBorder="1" applyAlignment="1">
      <x:alignment wrapText="1"/>
    </x:xf>
    <x:xf numFmtId="202" fontId="11" fillId="0" borderId="0" xfId="0" applyNumberFormat="1" applyFont="1" applyFill="1" applyBorder="1" applyAlignment="1">
      <x:alignment wrapText="1"/>
    </x:xf>
    <x:xf numFmtId="201" fontId="11" fillId="0" borderId="0" xfId="0" applyNumberFormat="1" applyFont="1" applyFill="1" applyBorder="1" applyAlignment="1">
      <x:alignment wrapText="1"/>
    </x:xf>
    <x:xf numFmtId="200" fontId="11" fillId="0" borderId="0" xfId="0" applyNumberFormat="1" applyFont="1" applyFill="1" applyBorder="1" applyAlignment="1">
      <x:alignment wrapText="1"/>
    </x:xf>
    <x:xf numFmtId="203" fontId="11" fillId="0" borderId="0" xfId="0" applyNumberFormat="1" applyFont="1" applyFill="1" applyBorder="1" applyAlignment="1">
      <x:alignment wrapText="1"/>
    </x:xf>
    <x:xf numFmtId="0" fontId="18" fillId="2" borderId="1" xfId="0" applyNumberFormat="1" applyFont="1" applyFill="1" applyBorder="1"/>
    <x:xf numFmtId="0" fontId="18" fillId="2" borderId="2" xfId="0" applyNumberFormat="1" applyFont="1" applyFill="1" applyBorder="1"/>
    <x:xf numFmtId="0" fontId="18" fillId="2" borderId="3" xfId="0" applyNumberFormat="1" applyFont="1" applyFill="1" applyBorder="1"/>
    <x:xf numFmtId="0" fontId="18" fillId="2" borderId="4" xfId="0" applyNumberFormat="1" applyFont="1" applyFill="1" applyBorder="1"/>
    <x:xf numFmtId="0" fontId="18" fillId="2" borderId="5" xfId="0" applyNumberFormat="1" applyFont="1" applyFill="1" applyBorder="1"/>
    <x:xf numFmtId="0" fontId="18" fillId="2" borderId="6" xfId="0" applyNumberFormat="1" applyFont="1" applyFill="1" applyBorder="1"/>
    <x:xf numFmtId="0" fontId="11" fillId="0" borderId="4" xfId="0" applyNumberFormat="1" applyFont="1" applyFill="1" applyBorder="1"/>
    <x:xf numFmtId="0" fontId="11" fillId="0" borderId="5" xfId="0" applyNumberFormat="1" applyFont="1" applyFill="1" applyBorder="1"/>
    <x:xf numFmtId="0" fontId="11" fillId="0" borderId="6" xfId="0" applyNumberFormat="1" applyFont="1" applyFill="1" applyBorder="1"/>
    <x:xf numFmtId="0" fontId="14" fillId="2" borderId="4" xfId="0" applyNumberFormat="1" applyFont="1" applyFill="1" applyBorder="1" applyAlignment="1">
      <x:alignment wrapText="1"/>
    </x:xf>
    <x:xf numFmtId="0" fontId="14" fillId="2" borderId="5" xfId="0" applyNumberFormat="1" applyFont="1" applyFill="1" applyBorder="1" applyAlignment="1">
      <x:alignment wrapText="1"/>
    </x:xf>
    <x:xf numFmtId="0" fontId="14" fillId="2" borderId="6" xfId="0" applyNumberFormat="1" applyFont="1" applyFill="1" applyBorder="1" applyAlignment="1">
      <x:alignment wrapText="1"/>
    </x:xf>
    <x:xf numFmtId="0" fontId="11" fillId="0" borderId="4" xfId="0" applyNumberFormat="1" applyFont="1" applyFill="1" applyBorder="1" applyAlignment="1">
      <x:alignment wrapText="1"/>
    </x:xf>
    <x:xf numFmtId="200" fontId="15" fillId="0" borderId="5" xfId="0" applyNumberFormat="1" applyFont="1" applyFill="1" applyBorder="1" applyAlignment="1">
      <x:alignment wrapText="1"/>
    </x:xf>
    <x:xf numFmtId="0" fontId="11" fillId="0" borderId="5" xfId="0" applyNumberFormat="1" applyFont="1" applyFill="1" applyBorder="1" applyAlignment="1">
      <x:alignment wrapText="1"/>
    </x:xf>
    <x:xf numFmtId="0" fontId="11" fillId="0" borderId="6" xfId="0" applyNumberFormat="1" applyFont="1" applyFill="1" applyBorder="1" applyAlignment="1">
      <x:alignment wrapText="1"/>
    </x:xf>
    <x:xf numFmtId="201" fontId="15" fillId="0" borderId="5" xfId="0" applyNumberFormat="1" applyFont="1" applyFill="1" applyBorder="1" applyAlignment="1">
      <x:alignment wrapText="1"/>
    </x:xf>
    <x:xf numFmtId="0" fontId="15" fillId="0" borderId="5" xfId="0" applyNumberFormat="1" applyFont="1" applyFill="1" applyBorder="1" applyAlignment="1">
      <x:alignment wrapText="1"/>
    </x:xf>
    <x:xf numFmtId="202" fontId="11" fillId="0" borderId="5" xfId="0" applyNumberFormat="1" applyFont="1" applyFill="1" applyBorder="1" applyAlignment="1">
      <x:alignment wrapText="1"/>
    </x:xf>
    <x:xf numFmtId="201" fontId="11" fillId="0" borderId="5" xfId="0" applyNumberFormat="1" applyFont="1" applyFill="1" applyBorder="1" applyAlignment="1">
      <x:alignment wrapText="1"/>
    </x:xf>
    <x:xf numFmtId="200" fontId="11" fillId="0" borderId="5" xfId="0" applyNumberFormat="1" applyFont="1" applyFill="1" applyBorder="1" applyAlignment="1">
      <x:alignment wrapText="1"/>
    </x:xf>
    <x:xf numFmtId="203" fontId="11" fillId="0" borderId="5" xfId="0" applyNumberFormat="1" applyFont="1" applyFill="1" applyBorder="1" applyAlignment="1">
      <x:alignment wrapText="1"/>
    </x:xf>
    <x:xf numFmtId="0" fontId="11" fillId="0" borderId="7" xfId="0" applyNumberFormat="1" applyFont="1" applyFill="1" applyBorder="1" applyAlignment="1">
      <x:alignment wrapText="1"/>
    </x:xf>
    <x:xf numFmtId="200" fontId="11" fillId="0" borderId="8" xfId="0" applyNumberFormat="1" applyFont="1" applyFill="1" applyBorder="1" applyAlignment="1">
      <x:alignment wrapText="1"/>
    </x:xf>
    <x:xf numFmtId="0" fontId="11" fillId="0" borderId="8" xfId="0" applyNumberFormat="1" applyFont="1" applyFill="1" applyBorder="1" applyAlignment="1">
      <x:alignment wrapText="1"/>
    </x:xf>
    <x:xf numFmtId="0" fontId="11" fillId="0" borderId="9" xfId="0" applyNumberFormat="1" applyFont="1" applyFill="1" applyBorder="1" applyAlignment="1">
      <x:alignment wrapText="1"/>
    </x:xf>
    <x:xf numFmtId="0" fontId="18" fillId="2" borderId="1" xfId="0" applyNumberFormat="1" applyFont="1" applyFill="1" applyBorder="1" applyAlignment="1">
      <x:alignment vertical="center"/>
    </x:xf>
    <x:xf numFmtId="0" fontId="18" fillId="2" borderId="2" xfId="0" applyNumberFormat="1" applyFont="1" applyFill="1" applyBorder="1" applyAlignment="1">
      <x:alignment vertical="center"/>
    </x:xf>
    <x:xf numFmtId="0" fontId="18" fillId="2" borderId="3" xfId="0" applyNumberFormat="1" applyFont="1" applyFill="1" applyBorder="1" applyAlignment="1">
      <x:alignment vertical="center"/>
    </x:xf>
    <x:xf numFmtId="0" fontId="18" fillId="2" borderId="4" xfId="0" applyNumberFormat="1" applyFont="1" applyFill="1" applyBorder="1" applyAlignment="1">
      <x:alignment vertical="center"/>
    </x:xf>
    <x:xf numFmtId="0" fontId="18" fillId="2" borderId="5" xfId="0" applyNumberFormat="1" applyFont="1" applyFill="1" applyBorder="1" applyAlignment="1">
      <x:alignment vertical="center"/>
    </x:xf>
    <x:xf numFmtId="0" fontId="18" fillId="2" borderId="6" xfId="0" applyNumberFormat="1" applyFont="1" applyFill="1" applyBorder="1" applyAlignment="1">
      <x:alignment vertical="center"/>
    </x:xf>
    <x:xf numFmtId="0" fontId="14" fillId="2" borderId="4" xfId="0" applyNumberFormat="1" applyFont="1" applyFill="1" applyBorder="1" applyAlignment="1">
      <x:alignment vertical="center" wrapText="1"/>
    </x:xf>
    <x:xf numFmtId="0" fontId="14" fillId="2" borderId="5" xfId="0" applyNumberFormat="1" applyFont="1" applyFill="1" applyBorder="1" applyAlignment="1">
      <x:alignment vertical="center" wrapText="1"/>
    </x:xf>
    <x:xf numFmtId="0" fontId="14" fillId="2" borderId="6" xfId="0" applyNumberFormat="1" applyFont="1" applyFill="1" applyBorder="1" applyAlignment="1">
      <x:alignment vertical="center" wrapText="1"/>
    </x:xf>
    <x:xf numFmtId="0" fontId="11" fillId="0" borderId="4" xfId="0" applyNumberFormat="1" applyFont="1" applyFill="1" applyBorder="1" applyAlignment="1">
      <x:alignment vertical="center" wrapText="1"/>
    </x:xf>
    <x:xf numFmtId="200" fontId="15" fillId="0" borderId="5" xfId="0" applyNumberFormat="1" applyFont="1" applyFill="1" applyBorder="1" applyAlignment="1">
      <x:alignment vertical="center" wrapText="1"/>
    </x:xf>
    <x:xf numFmtId="0" fontId="11" fillId="0" borderId="6" xfId="0" applyNumberFormat="1" applyFont="1" applyFill="1" applyBorder="1" applyAlignment="1">
      <x:alignment vertical="center" wrapText="1"/>
    </x:xf>
    <x:xf numFmtId="201" fontId="15" fillId="0" borderId="5" xfId="0" applyNumberFormat="1" applyFont="1" applyFill="1" applyBorder="1" applyAlignment="1">
      <x:alignment vertical="center" wrapText="1"/>
    </x:xf>
    <x:xf numFmtId="0" fontId="15" fillId="0" borderId="5" xfId="0" applyNumberFormat="1" applyFont="1" applyFill="1" applyBorder="1" applyAlignment="1">
      <x:alignment vertical="center" wrapText="1"/>
    </x:xf>
    <x:xf numFmtId="202" fontId="11" fillId="0" borderId="5" xfId="0" applyNumberFormat="1" applyFont="1" applyFill="1" applyBorder="1" applyAlignment="1">
      <x:alignment vertical="center" wrapText="1"/>
    </x:xf>
    <x:xf numFmtId="201" fontId="11" fillId="0" borderId="5" xfId="0" applyNumberFormat="1" applyFont="1" applyFill="1" applyBorder="1" applyAlignment="1">
      <x:alignment vertical="center" wrapText="1"/>
    </x:xf>
    <x:xf numFmtId="200" fontId="11" fillId="0" borderId="5" xfId="0" applyNumberFormat="1" applyFont="1" applyFill="1" applyBorder="1" applyAlignment="1">
      <x:alignment vertical="center" wrapText="1"/>
    </x:xf>
    <x:xf numFmtId="203" fontId="11" fillId="0" borderId="5" xfId="0" applyNumberFormat="1" applyFont="1" applyFill="1" applyBorder="1" applyAlignment="1">
      <x:alignment vertical="center" wrapText="1"/>
    </x:xf>
    <x:xf numFmtId="0" fontId="11" fillId="0" borderId="7" xfId="0" applyNumberFormat="1" applyFont="1" applyFill="1" applyBorder="1" applyAlignment="1">
      <x:alignment vertical="center" wrapText="1"/>
    </x:xf>
    <x:xf numFmtId="200" fontId="11" fillId="0" borderId="8" xfId="0" applyNumberFormat="1" applyFont="1" applyFill="1" applyBorder="1" applyAlignment="1">
      <x:alignment vertical="center" wrapText="1"/>
    </x:xf>
    <x:xf numFmtId="0" fontId="11" fillId="0" borderId="8" xfId="0" applyNumberFormat="1" applyFont="1" applyFill="1" applyBorder="1" applyAlignment="1">
      <x:alignment vertical="center" wrapText="1"/>
    </x:xf>
    <x:xf numFmtId="0" fontId="11" fillId="0" borderId="9" xfId="0" applyNumberFormat="1" applyFont="1" applyFill="1" applyBorder="1" applyAlignment="1">
      <x:alignment vertical="center" wrapText="1"/>
    </x:xf>
    <x:xf numFmtId="200" fontId="15" fillId="0" borderId="0" xfId="0" applyNumberFormat="1" applyFont="1" applyFill="1" applyBorder="1"/>
    <x:xf numFmtId="200" fontId="11" fillId="0" borderId="0" xfId="0" applyNumberFormat="1" applyFont="1" applyFill="1" applyBorder="1"/>
    <x:xf numFmtId="204" fontId="11" fillId="0" borderId="0" xfId="0" applyNumberFormat="1" applyFont="1" applyFill="1" applyBorder="1"/>
    <x:xf numFmtId="0" fontId="19" fillId="3" borderId="0" xfId="0" applyNumberFormat="1" applyFont="1" applyFill="1" applyBorder="1" applyAlignment="1">
      <x:alignment wrapText="1"/>
    </x:xf>
    <x:xf numFmtId="200" fontId="15" fillId="0" borderId="5" xfId="0" applyNumberFormat="1" applyFont="1" applyFill="1" applyBorder="1"/>
    <x:xf numFmtId="200" fontId="11" fillId="0" borderId="5" xfId="0" applyNumberFormat="1" applyFont="1" applyFill="1" applyBorder="1"/>
    <x:xf numFmtId="204" fontId="11" fillId="0" borderId="5" xfId="0" applyNumberFormat="1" applyFont="1" applyFill="1" applyBorder="1"/>
    <x:xf numFmtId="0" fontId="19" fillId="3" borderId="4" xfId="0" applyNumberFormat="1" applyFont="1" applyFill="1" applyBorder="1" applyAlignment="1">
      <x:alignment wrapText="1"/>
    </x:xf>
    <x:xf numFmtId="0" fontId="19" fillId="3" borderId="5" xfId="0" applyNumberFormat="1" applyFont="1" applyFill="1" applyBorder="1" applyAlignment="1">
      <x:alignment wrapText="1"/>
    </x:xf>
    <x:xf numFmtId="0" fontId="19" fillId="3" borderId="7" xfId="0" applyNumberFormat="1" applyFont="1" applyFill="1" applyBorder="1" applyAlignment="1">
      <x:alignment wrapText="1"/>
    </x:xf>
    <x:xf numFmtId="0" fontId="19" fillId="3" borderId="8" xfId="0" applyNumberFormat="1" applyFont="1" applyFill="1" applyBorder="1" applyAlignment="1">
      <x:alignment wrapText="1"/>
    </x:xf>
    <x:xf numFmtId="0" fontId="11" fillId="0" borderId="9" xfId="0" applyNumberFormat="1" applyFont="1" applyFill="1" applyBorder="1"/>
    <x:xf numFmtId="200" fontId="15" fillId="0" borderId="5" xfId="0" applyNumberFormat="1" applyFont="1" applyFill="1" applyBorder="1" applyAlignment="1">
      <x:alignment vertical="center"/>
    </x:xf>
    <x:xf numFmtId="200" fontId="11" fillId="0" borderId="5" xfId="0" applyNumberFormat="1" applyFont="1" applyFill="1" applyBorder="1" applyAlignment="1">
      <x:alignment vertical="center"/>
    </x:xf>
    <x:xf numFmtId="204" fontId="11" fillId="0" borderId="5" xfId="0" applyNumberFormat="1" applyFont="1" applyFill="1" applyBorder="1" applyAlignment="1">
      <x:alignment vertical="center"/>
    </x:xf>
    <x:xf numFmtId="0" fontId="19" fillId="3" borderId="4" xfId="0" applyNumberFormat="1" applyFont="1" applyFill="1" applyBorder="1" applyAlignment="1">
      <x:alignment vertical="center" wrapText="1"/>
    </x:xf>
    <x:xf numFmtId="0" fontId="19" fillId="3" borderId="5" xfId="0" applyNumberFormat="1" applyFont="1" applyFill="1" applyBorder="1" applyAlignment="1">
      <x:alignment vertical="center" wrapText="1"/>
    </x:xf>
    <x:xf numFmtId="0" fontId="19" fillId="3" borderId="7" xfId="0" applyNumberFormat="1" applyFont="1" applyFill="1" applyBorder="1" applyAlignment="1">
      <x:alignment vertical="center" wrapText="1"/>
    </x:xf>
    <x:xf numFmtId="0" fontId="19" fillId="3" borderId="8" xfId="0" applyNumberFormat="1" applyFont="1" applyFill="1" applyBorder="1" applyAlignment="1">
      <x:alignment vertical="center" wrapText="1"/>
    </x:xf>
    <x:xf numFmtId="0" fontId="11" fillId="0" borderId="9" xfId="0" applyNumberFormat="1" applyFont="1" applyFill="1" applyBorder="1" applyAlignment="1">
      <x:alignment vertical="center"/>
    </x:xf>
    <x:xf numFmtId="0" fontId="17" fillId="5" borderId="0" xfId="0" applyNumberFormat="1" applyFont="1" applyFill="1" applyBorder="1" applyAlignment="1">
      <x:alignment wrapText="1"/>
    </x:xf>
    <x:xf numFmtId="0" fontId="17" fillId="5" borderId="4" xfId="0" applyNumberFormat="1" applyFont="1" applyFill="1" applyBorder="1" applyAlignment="1">
      <x:alignment wrapText="1"/>
    </x:xf>
    <x:xf numFmtId="0" fontId="17" fillId="5" borderId="5" xfId="0" applyNumberFormat="1" applyFont="1" applyFill="1" applyBorder="1" applyAlignment="1">
      <x:alignment wrapText="1"/>
    </x:xf>
    <x:xf numFmtId="0" fontId="17" fillId="5" borderId="6" xfId="0" applyNumberFormat="1" applyFont="1" applyFill="1" applyBorder="1" applyAlignment="1">
      <x:alignment wrapText="1"/>
    </x:xf>
    <x:xf numFmtId="0" fontId="17" fillId="5" borderId="7" xfId="0" applyNumberFormat="1" applyFont="1" applyFill="1" applyBorder="1" applyAlignment="1">
      <x:alignment wrapText="1"/>
    </x:xf>
    <x:xf numFmtId="0" fontId="17" fillId="5" borderId="8" xfId="0" applyNumberFormat="1" applyFont="1" applyFill="1" applyBorder="1" applyAlignment="1">
      <x:alignment wrapText="1"/>
    </x:xf>
    <x:xf numFmtId="0" fontId="17" fillId="5" borderId="9" xfId="0" applyNumberFormat="1" applyFont="1" applyFill="1" applyBorder="1" applyAlignment="1">
      <x:alignment wrapText="1"/>
    </x:xf>
  </x:cellXfs>
  <x:cellStyles count="1">
    <x:cellStyle name="Normal" xfId="0"/>
  </x:cellStyles>
  <x:dxfs count="5">
    <x:dxf>
      <x:font>
        <x:b/>
        <x:color rgb="FF9B1C1C"/>
      </x:font>
      <x:fill>
        <x:patternFill>
          <x:bgColor rgb="FFFDECEC"/>
        </x:patternFill>
      </x:fill>
    </x:dxf>
    <x:dxf>
      <x:font>
        <x:b/>
        <x:color rgb="FF166534"/>
      </x:font>
      <x:fill>
        <x:patternFill>
          <x:bgColor rgb="FFE8F5E9"/>
        </x:patternFill>
      </x:fill>
    </x:dxf>
    <x:dxf>
      <x:font>
        <x:b/>
        <x:color rgb="FF7C4A03"/>
      </x:font>
      <x:fill>
        <x:patternFill>
          <x:bgColor rgb="FFFFF4D6"/>
        </x:patternFill>
      </x:fill>
    </x:dxf>
    <x:dxf>
      <x:font>
        <x:b/>
        <x:color rgb="FF166534"/>
      </x:font>
      <x:fill>
        <x:patternFill>
          <x:bgColor rgb="FFE8F5E9"/>
        </x:patternFill>
      </x:fill>
    </x:dxf>
    <x:dxf>
      <x:font>
        <x:b/>
        <x:color rgb="FF9B1C1C"/>
      </x:font>
      <x:fill>
        <x:patternFill>
          <x:bgColor rgb="FFFD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5a55de656e4fe5" /><Relationship Type="http://schemas.openxmlformats.org/officeDocument/2006/relationships/theme" Target="/xl/theme/theme1.xml" Id="R270f367f339c41da" /><Relationship Type="http://schemas.openxmlformats.org/officeDocument/2006/relationships/sharedStrings" Target="/xl/sharedStrings.xml" Id="R503db896305443e1" /><Relationship Type="http://schemas.openxmlformats.org/officeDocument/2006/relationships/worksheet" Target="/xl/worksheets/sheet1.xml" Id="R1325302a812744a9" /><Relationship Type="http://schemas.openxmlformats.org/officeDocument/2006/relationships/worksheet" Target="/xl/worksheets/sheet2.xml" Id="R023665ec5d4e4bcc" /><Relationship Type="http://schemas.openxmlformats.org/officeDocument/2006/relationships/worksheet" Target="/xl/worksheets/sheet3.xml" Id="R4957a7d16d274eb2" /><Relationship Type="http://schemas.openxmlformats.org/officeDocument/2006/relationships/worksheet" Target="/xl/worksheets/sheet4.xml" Id="Raa570e507ece40e3" /><Relationship Type="http://schemas.openxmlformats.org/officeDocument/2006/relationships/worksheet" Target="/xl/worksheets/sheet5.xml" Id="Rfb3c68bbc28c464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71a6ea1ed1b497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Defined loss and capped upside at expiry (USD per spread)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P&amp;L per spread</c:v>
          </c:tx>
          <c:spPr>
            <a:solidFill xmlns:a="http://schemas.openxmlformats.org/drawingml/2006/main">
              <a:srgbClr val="2563EB"/>
            </a:solidFill>
          </c:spPr>
          <c:marker>
            <c:symbol val="none"/>
          </c:marker>
          <c:cat>
            <c:strRef>
              <c:f>'Scenario P&amp;L'!$B$5:$B$13</c:f>
              <c:strCache>
                <c:ptCount val="0"/>
              </c:strCache>
            </c:strRef>
          </c:cat>
          <c:val>
            <c:numRef>
              <c:f>'Scenario P&amp;L'!$E$5:$E$13</c:f>
              <c:numCache>
                <c:formatCode>$#,##0;[Red]($#,##0);-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;[Red]($#,##0);-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3</xdr:row>
      <xdr:rowOff>0</xdr:rowOff>
    </xdr:from>
    <xdr:to>
      <xdr:col>16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71a6ea1ed1b497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0311f8987164451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53" t="str">
        <x:v>Cocoa Defined-Risk Trade Scenario Model</x:v>
      </x:c>
      <x:c r="B1" s="54"/>
      <x:c r="C1" s="54"/>
      <x:c r="D1" s="54"/>
      <x:c r="E1" s="54"/>
      <x:c r="F1" s="54"/>
      <x:c r="G1" s="54"/>
      <x:c r="H1" s="55"/>
    </x:row>
    <x:row r="2">
      <x:c r="A2" s="56"/>
      <x:c r="B2" s="57"/>
      <x:c r="C2" s="57"/>
      <x:c r="D2" s="57"/>
      <x:c r="E2" s="57"/>
      <x:c r="F2" s="57"/>
      <x:c r="G2" s="57"/>
      <x:c r="H2" s="58"/>
    </x:row>
    <x:row r="3">
      <x:c r="A3" s="59"/>
      <x:c r="B3" s="60"/>
      <x:c r="C3" s="60"/>
      <x:c r="D3" s="60"/>
      <x:c r="E3" s="60"/>
      <x:c r="F3" s="60"/>
      <x:c r="G3" s="60"/>
      <x:c r="H3" s="61"/>
    </x:row>
    <x:row r="4">
      <x:c r="A4" s="62" t="str">
        <x:v>Research expression only - blue market-price cells are illustrative; blue rule cells are frozen version-1 research parameters.</x:v>
      </x:c>
      <x:c r="B4" s="63"/>
      <x:c r="C4" s="63"/>
      <x:c r="D4" s="63"/>
      <x:c r="E4" s="63"/>
      <x:c r="F4" s="63"/>
      <x:c r="G4" s="63"/>
      <x:c r="H4" s="64"/>
    </x:row>
    <x:row r="5">
      <x:c r="A5" s="59"/>
      <x:c r="B5" s="60"/>
      <x:c r="C5" s="60"/>
      <x:c r="D5" s="60"/>
      <x:c r="E5" s="60"/>
      <x:c r="F5" s="60"/>
      <x:c r="G5" s="60"/>
      <x:c r="H5" s="61"/>
    </x:row>
    <x:row r="6">
      <x:c r="A6" s="65" t="str">
        <x:v>Instrument</x:v>
      </x:c>
      <x:c r="B6" s="66" t="str">
        <x:v>ICE Futures U.S. Cocoa Dec-26 call spread</x:v>
      </x:c>
      <x:c r="C6" s="60"/>
      <x:c r="D6" s="60"/>
      <x:c r="E6" s="60"/>
      <x:c r="F6" s="60"/>
      <x:c r="G6" s="60"/>
      <x:c r="H6" s="61"/>
    </x:row>
    <x:row r="7">
      <x:c r="A7" s="65" t="str">
        <x:v>Signal</x:v>
      </x:c>
      <x:c r="B7" s="66" t="str">
        <x:v>Prior normalized managed-money net at/below expanding Q10, followed by a weekly reversal</x:v>
      </x:c>
      <x:c r="C7" s="60"/>
      <x:c r="D7" s="60"/>
      <x:c r="E7" s="60"/>
      <x:c r="F7" s="60"/>
      <x:c r="G7" s="60"/>
      <x:c r="H7" s="61"/>
    </x:row>
    <x:row r="8">
      <x:c r="A8" s="65" t="str">
        <x:v>Evidence gate</x:v>
      </x:c>
      <x:c r="B8" s="66" t="str">
        <x:v>Registered physical-balance deterioration; weather remains context-only in version 1</x:v>
      </x:c>
      <x:c r="C8" s="60"/>
      <x:c r="D8" s="60"/>
      <x:c r="E8" s="60"/>
      <x:c r="F8" s="60"/>
      <x:c r="G8" s="60"/>
      <x:c r="H8" s="61"/>
    </x:row>
    <x:row r="9">
      <x:c r="A9" s="65" t="str">
        <x:v>Entry timing</x:v>
      </x:c>
      <x:c r="B9" s="66" t="str">
        <x:v>Next eligible ICE session after the CFTC release becomes public and licensed price confirmation passes</x:v>
      </x:c>
      <x:c r="C9" s="60"/>
      <x:c r="D9" s="60"/>
      <x:c r="E9" s="60"/>
      <x:c r="F9" s="60"/>
      <x:c r="G9" s="60"/>
      <x:c r="H9" s="61"/>
    </x:row>
    <x:row r="10">
      <x:c r="A10" s="65" t="str">
        <x:v>Risk budget</x:v>
      </x:c>
      <x:c r="B10" s="66" t="str">
        <x:v>0.5% of illustrative paper NAV</x:v>
      </x:c>
      <x:c r="C10" s="60"/>
      <x:c r="D10" s="60"/>
      <x:c r="E10" s="60"/>
      <x:c r="F10" s="60"/>
      <x:c r="G10" s="60"/>
      <x:c r="H10" s="61"/>
    </x:row>
    <x:row r="11">
      <x:c r="A11" s="65" t="str">
        <x:v>Exit</x:v>
      </x:c>
      <x:c r="B11" s="66" t="str">
        <x:v>Earliest of 40 sessions, signal invalidation, or 10 sessions before option last trading day</x:v>
      </x:c>
      <x:c r="C11" s="60"/>
      <x:c r="D11" s="60"/>
      <x:c r="E11" s="60"/>
      <x:c r="F11" s="60"/>
      <x:c r="G11" s="60"/>
      <x:c r="H11" s="61"/>
    </x:row>
    <x:row r="12">
      <x:c r="A12" s="65" t="str">
        <x:v>Boundary</x:v>
      </x:c>
      <x:c r="B12" s="66" t="str">
        <x:v>No order routing, no broker connection, no investment recommendation</x:v>
      </x:c>
      <x:c r="C12" s="60"/>
      <x:c r="D12" s="60"/>
      <x:c r="E12" s="60"/>
      <x:c r="F12" s="60"/>
      <x:c r="G12" s="60"/>
      <x:c r="H12" s="61"/>
    </x:row>
    <x:row r="13">
      <x:c r="A13" s="67" t="str">
        <x:v>Model legend</x:v>
      </x:c>
      <x:c r="B13" s="68" t="str">
        <x:v>Editable input</x:v>
      </x:c>
      <x:c r="C13" s="68" t="str">
        <x:v>Formula</x:v>
      </x:c>
      <x:c r="D13" s="68" t="str">
        <x:v>Check / warning</x:v>
      </x:c>
      <x:c r="E13" s="60"/>
      <x:c r="F13" s="60"/>
      <x:c r="G13" s="60"/>
      <x:c r="H13" s="61"/>
    </x:row>
    <x:row r="14">
      <x:c r="A14" s="59"/>
      <x:c r="B14" s="69" t="str">
        <x:v>Blue text</x:v>
      </x:c>
      <x:c r="C14" s="70" t="str">
        <x:v>Black text</x:v>
      </x:c>
      <x:c r="D14" s="71" t="str">
        <x:v>Green / amber / red fill</x:v>
      </x:c>
      <x:c r="E14" s="60"/>
      <x:c r="F14" s="60"/>
      <x:c r="G14" s="60"/>
      <x:c r="H14" s="61"/>
    </x:row>
    <x:row r="15">
      <x:c r="A15" s="59"/>
      <x:c r="B15" s="60"/>
      <x:c r="C15" s="60"/>
      <x:c r="D15" s="60"/>
      <x:c r="E15" s="60"/>
      <x:c r="F15" s="60"/>
      <x:c r="G15" s="60"/>
      <x:c r="H15" s="61"/>
    </x:row>
    <x:row r="16">
      <x:c r="A16" s="72" t="str">
        <x:v>The workbook documents instrument selection, capped-loss sizing and expiry scenarios. It does not claim executable pricing: replace the illustrative settlement, strikes and debit only with data your licence permits you to use.</x:v>
      </x:c>
      <x:c r="B16" s="73"/>
      <x:c r="C16" s="73"/>
      <x:c r="D16" s="73"/>
      <x:c r="E16" s="73"/>
      <x:c r="F16" s="73"/>
      <x:c r="G16" s="73"/>
      <x:c r="H16" s="74"/>
    </x:row>
    <x:row r="17">
      <x:c r="A17" s="72"/>
      <x:c r="B17" s="73"/>
      <x:c r="C17" s="73"/>
      <x:c r="D17" s="73"/>
      <x:c r="E17" s="73"/>
      <x:c r="F17" s="73"/>
      <x:c r="G17" s="73"/>
      <x:c r="H17" s="74"/>
    </x:row>
    <x:row r="18">
      <x:c r="A18" s="75"/>
      <x:c r="B18" s="76"/>
      <x:c r="C18" s="76"/>
      <x:c r="D18" s="76"/>
      <x:c r="E18" s="76"/>
      <x:c r="F18" s="76"/>
      <x:c r="G18" s="76"/>
      <x:c r="H18" s="77"/>
    </x:row>
  </x:sheetData>
  <x:mergeCells>
    <x:mergeCell ref="A1:H2"/>
    <x:mergeCell ref="A4:H4"/>
    <x:mergeCell ref="A16:H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20" hidden="0" customWidth="1"/>
    <x:col min="4" max="4" width="20" hidden="0" customWidth="1"/>
    <x:col min="5" max="5" width="42" hidden="0" customWidth="1"/>
    <x:col min="6" max="6" width="42" hidden="0" customWidth="1"/>
  </x:cols>
  <x:sheetData>
    <x:row r="1">
      <x:c r="A1" s="115" t="str">
        <x:v>Trade Inputs - illustrative market prices and frozen rule parameters</x:v>
      </x:c>
      <x:c r="B1" s="116"/>
      <x:c r="C1" s="116"/>
      <x:c r="D1" s="116"/>
      <x:c r="E1" s="116"/>
      <x:c r="F1" s="117"/>
    </x:row>
    <x:row r="2">
      <x:c r="A2" s="118"/>
      <x:c r="B2" s="119"/>
      <x:c r="C2" s="119"/>
      <x:c r="D2" s="119"/>
      <x:c r="E2" s="119"/>
      <x:c r="F2" s="120"/>
    </x:row>
    <x:row r="3">
      <x:c r="A3" s="59"/>
      <x:c r="B3" s="60"/>
      <x:c r="C3" s="60"/>
      <x:c r="D3" s="60"/>
      <x:c r="E3" s="60"/>
      <x:c r="F3" s="61"/>
    </x:row>
    <x:row r="4">
      <x:c r="A4" s="121" t="str">
        <x:v>Input</x:v>
      </x:c>
      <x:c r="B4" s="122" t="str">
        <x:v>Value</x:v>
      </x:c>
      <x:c r="C4" s="122" t="str">
        <x:v>Unit</x:v>
      </x:c>
      <x:c r="D4" s="122" t="str">
        <x:v>Type</x:v>
      </x:c>
      <x:c r="E4" s="122" t="str">
        <x:v>Source / rule</x:v>
      </x:c>
      <x:c r="F4" s="123" t="str">
        <x:v>Notes</x:v>
      </x:c>
    </x:row>
    <x:row r="5">
      <x:c r="A5" s="124" t="str">
        <x:v>Paper NAV</x:v>
      </x:c>
      <x:c r="B5" s="125" t="n">
        <x:v>1000000</x:v>
      </x:c>
      <x:c r="C5" s="66" t="str">
        <x:v>USD</x:v>
      </x:c>
      <x:c r="D5" s="66" t="str">
        <x:v>Illustrative</x:v>
      </x:c>
      <x:c r="E5" s="66" t="str">
        <x:v>User-controlled scenario</x:v>
      </x:c>
      <x:c r="F5" s="126" t="str">
        <x:v>Not actual capital</x:v>
      </x:c>
    </x:row>
    <x:row r="6">
      <x:c r="A6" s="124" t="str">
        <x:v>Risk cap</x:v>
      </x:c>
      <x:c r="B6" s="127" t="n">
        <x:v>0.005</x:v>
      </x:c>
      <x:c r="C6" s="66" t="str">
        <x:v>% of NAV</x:v>
      </x:c>
      <x:c r="D6" s="66" t="str">
        <x:v>Rule</x:v>
      </x:c>
      <x:c r="E6" s="66" t="str">
        <x:v>Frozen v1</x:v>
      </x:c>
      <x:c r="F6" s="126" t="str">
        <x:v>Maximum premium-at-risk allocation</x:v>
      </x:c>
    </x:row>
    <x:row r="7">
      <x:c r="A7" s="124" t="str">
        <x:v>Futures settlement F0</x:v>
      </x:c>
      <x:c r="B7" s="125" t="n">
        <x:v>5500</x:v>
      </x:c>
      <x:c r="C7" s="66" t="str">
        <x:v>USD/metric tonne</x:v>
      </x:c>
      <x:c r="D7" s="66" t="str">
        <x:v>Illustrative</x:v>
      </x:c>
      <x:c r="E7" s="66" t="str">
        <x:v>Requires licensed Dec-26 settlement</x:v>
      </x:c>
      <x:c r="F7" s="126" t="str">
        <x:v>Replace before use</x:v>
      </x:c>
    </x:row>
    <x:row r="8">
      <x:c r="A8" s="124" t="str">
        <x:v>Lower strike K1</x:v>
      </x:c>
      <x:c r="B8" s="125" t="n">
        <x:v>5500</x:v>
      </x:c>
      <x:c r="C8" s="66" t="str">
        <x:v>USD/metric tonne</x:v>
      </x:c>
      <x:c r="D8" s="66" t="str">
        <x:v>Illustrative</x:v>
      </x:c>
      <x:c r="E8" s="66" t="str">
        <x:v>First listed strike at or above F0</x:v>
      </x:c>
      <x:c r="F8" s="126" t="str">
        <x:v>Long call</x:v>
      </x:c>
    </x:row>
    <x:row r="9">
      <x:c r="A9" s="124" t="str">
        <x:v>Upper strike K2</x:v>
      </x:c>
      <x:c r="B9" s="125" t="n">
        <x:v>6350</x:v>
      </x:c>
      <x:c r="C9" s="66" t="str">
        <x:v>USD/metric tonne</x:v>
      </x:c>
      <x:c r="D9" s="66" t="str">
        <x:v>Illustrative</x:v>
      </x:c>
      <x:c r="E9" s="66" t="str">
        <x:v>First listed strike at or above 115% of K1</x:v>
      </x:c>
      <x:c r="F9" s="126" t="str">
        <x:v>Short call</x:v>
      </x:c>
    </x:row>
    <x:row r="10">
      <x:c r="A10" s="124" t="str">
        <x:v>Net debit D</x:v>
      </x:c>
      <x:c r="B10" s="125" t="n">
        <x:v>300</x:v>
      </x:c>
      <x:c r="C10" s="66" t="str">
        <x:v>USD/metric tonne</x:v>
      </x:c>
      <x:c r="D10" s="66" t="str">
        <x:v>Illustrative</x:v>
      </x:c>
      <x:c r="E10" s="66" t="str">
        <x:v>Requires licensed bid/ask or settlement</x:v>
      </x:c>
      <x:c r="F10" s="126" t="str">
        <x:v>Before fees</x:v>
      </x:c>
    </x:row>
    <x:row r="11">
      <x:c r="A11" s="124" t="str">
        <x:v>Round-trip fees</x:v>
      </x:c>
      <x:c r="B11" s="125" t="n">
        <x:v>20</x:v>
      </x:c>
      <x:c r="C11" s="66" t="str">
        <x:v>USD/spread</x:v>
      </x:c>
      <x:c r="D11" s="66" t="str">
        <x:v>Illustrative</x:v>
      </x:c>
      <x:c r="E11" s="66" t="str">
        <x:v>User assumption</x:v>
      </x:c>
      <x:c r="F11" s="126" t="str">
        <x:v>Both legs, entry and exit</x:v>
      </x:c>
    </x:row>
    <x:row r="12">
      <x:c r="A12" s="124" t="str">
        <x:v>Contract unit</x:v>
      </x:c>
      <x:c r="B12" s="128" t="n">
        <x:v>10</x:v>
      </x:c>
      <x:c r="C12" s="66" t="str">
        <x:v>Metric tonnes</x:v>
      </x:c>
      <x:c r="D12" s="66" t="str">
        <x:v>Contract spec</x:v>
      </x:c>
      <x:c r="E12" s="66" t="str">
        <x:v>ICE Cocoa Futures</x:v>
      </x:c>
      <x:c r="F12" s="126" t="str">
        <x:v>One options contract</x:v>
      </x:c>
    </x:row>
    <x:row r="13">
      <x:c r="A13" s="124" t="str">
        <x:v>Maximum debit / width</x:v>
      </x:c>
      <x:c r="B13" s="127" t="n">
        <x:v>0.4</x:v>
      </x:c>
      <x:c r="C13" s="66" t="str">
        <x:v>%</x:v>
      </x:c>
      <x:c r="D13" s="66" t="str">
        <x:v>Rule</x:v>
      </x:c>
      <x:c r="E13" s="66" t="str">
        <x:v>Frozen v1</x:v>
      </x:c>
      <x:c r="F13" s="126" t="str">
        <x:v>Reject richer spreads</x:v>
      </x:c>
    </x:row>
    <x:row r="14">
      <x:c r="A14" s="124" t="str">
        <x:v>Maximum holding period</x:v>
      </x:c>
      <x:c r="B14" s="128" t="n">
        <x:v>40</x:v>
      </x:c>
      <x:c r="C14" s="66" t="str">
        <x:v>Trading sessions</x:v>
      </x:c>
      <x:c r="D14" s="66" t="str">
        <x:v>Rule</x:v>
      </x:c>
      <x:c r="E14" s="66" t="str">
        <x:v>Frozen v1</x:v>
      </x:c>
      <x:c r="F14" s="126" t="str">
        <x:v>Earlier exit on invalidation</x:v>
      </x:c>
    </x:row>
    <x:row r="15">
      <x:c r="A15" s="124" t="str">
        <x:v>Exit buffer before LTD</x:v>
      </x:c>
      <x:c r="B15" s="128" t="n">
        <x:v>10</x:v>
      </x:c>
      <x:c r="C15" s="66" t="str">
        <x:v>Trading sessions</x:v>
      </x:c>
      <x:c r="D15" s="66" t="str">
        <x:v>Rule</x:v>
      </x:c>
      <x:c r="E15" s="66" t="str">
        <x:v>Frozen v1</x:v>
      </x:c>
      <x:c r="F15" s="126" t="str">
        <x:v>Avoid exercise/delivery window</x:v>
      </x:c>
    </x:row>
    <x:row r="16">
      <x:c r="A16" s="124"/>
      <x:c r="B16" s="66"/>
      <x:c r="C16" s="66"/>
      <x:c r="D16" s="66"/>
      <x:c r="E16" s="66"/>
      <x:c r="F16" s="126"/>
    </x:row>
    <x:row r="17">
      <x:c r="A17" s="121" t="str">
        <x:v>Derived output</x:v>
      </x:c>
      <x:c r="B17" s="122" t="str">
        <x:v>Formula result</x:v>
      </x:c>
      <x:c r="C17" s="122" t="str">
        <x:v>Unit</x:v>
      </x:c>
      <x:c r="D17" s="122" t="str">
        <x:v>Status</x:v>
      </x:c>
      <x:c r="E17" s="122" t="str">
        <x:v>Formula meaning</x:v>
      </x:c>
      <x:c r="F17" s="123" t="str">
        <x:v>Audit note</x:v>
      </x:c>
    </x:row>
    <x:row r="18">
      <x:c r="A18" s="124" t="str">
        <x:v>Spread width</x:v>
      </x:c>
      <x:c r="B18" s="129" t="n">
        <x:f>B9-B8</x:f>
        <x:v>850</x:v>
      </x:c>
      <x:c r="C18" s="66" t="str">
        <x:v>USD/metric tonne</x:v>
      </x:c>
      <x:c r="D18" s="66" t="str">
        <x:f>IF(B18&gt;0,"OK","FAIL")</x:f>
        <x:v>OK</x:v>
      </x:c>
      <x:c r="E18" s="66" t="str">
        <x:v>K2 - K1</x:v>
      </x:c>
      <x:c r="F18" s="126" t="str">
        <x:v>Must be positive</x:v>
      </x:c>
    </x:row>
    <x:row r="19">
      <x:c r="A19" s="124" t="str">
        <x:v>Risk budget</x:v>
      </x:c>
      <x:c r="B19" s="129" t="n">
        <x:f>B5*B6</x:f>
        <x:v>5000</x:v>
      </x:c>
      <x:c r="C19" s="66" t="str">
        <x:v>USD</x:v>
      </x:c>
      <x:c r="D19" s="66" t="str">
        <x:f>IF(B19&gt;0,"OK","FAIL")</x:f>
        <x:v>OK</x:v>
      </x:c>
      <x:c r="E19" s="66" t="str">
        <x:v>NAV x risk cap</x:v>
      </x:c>
      <x:c r="F19" s="126" t="str">
        <x:v>Illustrative paper limit</x:v>
      </x:c>
    </x:row>
    <x:row r="20">
      <x:c r="A20" s="124" t="str">
        <x:v>Debit / width</x:v>
      </x:c>
      <x:c r="B20" s="130" t="n">
        <x:f>IF(B18=0,0,B10/B18)</x:f>
        <x:v>0.35294117647058826</x:v>
      </x:c>
      <x:c r="C20" s="66" t="str">
        <x:v>%</x:v>
      </x:c>
      <x:c r="D20" s="66" t="str">
        <x:f>IF(B20&lt;=B13,"OK","REJECT")</x:f>
        <x:v>OK</x:v>
      </x:c>
      <x:c r="E20" s="66" t="str">
        <x:v>Debit divided by spread width</x:v>
      </x:c>
      <x:c r="F20" s="126" t="str">
        <x:v>Must not exceed frozen threshold</x:v>
      </x:c>
    </x:row>
    <x:row r="21">
      <x:c r="A21" s="124" t="str">
        <x:v>Max loss / spread</x:v>
      </x:c>
      <x:c r="B21" s="131" t="n">
        <x:f>B10*B12+B11</x:f>
        <x:v>3020</x:v>
      </x:c>
      <x:c r="C21" s="66" t="str">
        <x:v>USD/spread</x:v>
      </x:c>
      <x:c r="D21" s="66" t="str">
        <x:f>IF(B21&gt;0,"OK","FAIL")</x:f>
        <x:v>OK</x:v>
      </x:c>
      <x:c r="E21" s="66" t="str">
        <x:v>Debit x contract unit + fees</x:v>
      </x:c>
      <x:c r="F21" s="126" t="str">
        <x:v>Defined and capped</x:v>
      </x:c>
    </x:row>
    <x:row r="22">
      <x:c r="A22" s="124" t="str">
        <x:v>Max gain / spread</x:v>
      </x:c>
      <x:c r="B22" s="131" t="n">
        <x:f>(B18-B10)*B12-B11</x:f>
        <x:v>5480</x:v>
      </x:c>
      <x:c r="C22" s="66" t="str">
        <x:v>USD/spread</x:v>
      </x:c>
      <x:c r="D22" s="66" t="str">
        <x:f>IF(B22&gt;0,"OK","REJECT")</x:f>
        <x:v>OK</x:v>
      </x:c>
      <x:c r="E22" s="66" t="str">
        <x:v>(Width - debit) x contract unit - fees</x:v>
      </x:c>
      <x:c r="F22" s="126" t="str">
        <x:v>Must be positive</x:v>
      </x:c>
    </x:row>
    <x:row r="23">
      <x:c r="A23" s="124" t="str">
        <x:v>Breakeven at expiry</x:v>
      </x:c>
      <x:c r="B23" s="131" t="n">
        <x:f>B8+B10+B11/B12</x:f>
        <x:v>5802</x:v>
      </x:c>
      <x:c r="C23" s="66" t="str">
        <x:v>USD/metric tonne</x:v>
      </x:c>
      <x:c r="D23" s="66" t="str">
        <x:f>IF(B23&gt;B8,"OK","FAIL")</x:f>
        <x:v>OK</x:v>
      </x:c>
      <x:c r="E23" s="66" t="str">
        <x:v>K1 + debit + fees / contract unit</x:v>
      </x:c>
      <x:c r="F23" s="126" t="str">
        <x:v>Expiry breakeven including assumed round-trip fees</x:v>
      </x:c>
    </x:row>
    <x:row r="24">
      <x:c r="A24" s="124" t="str">
        <x:v>Position size</x:v>
      </x:c>
      <x:c r="B24" s="132" t="n">
        <x:f>IF(B21&lt;=0,0,INT(B19/B21))</x:f>
        <x:v>1</x:v>
      </x:c>
      <x:c r="C24" s="66" t="str">
        <x:v>Integer spreads</x:v>
      </x:c>
      <x:c r="D24" s="66" t="str">
        <x:f>IF(B24&gt;=1,"SIZE AVAILABLE","ZERO CONTRACTS")</x:f>
        <x:v>SIZE AVAILABLE</x:v>
      </x:c>
      <x:c r="E24" s="66" t="str">
        <x:v>Floor(risk budget / max loss)</x:v>
      </x:c>
      <x:c r="F24" s="126" t="str">
        <x:v>Forced to zero if one lot exceeds budget</x:v>
      </x:c>
    </x:row>
    <x:row r="25">
      <x:c r="A25" s="133" t="str">
        <x:v>Total maximum loss</x:v>
      </x:c>
      <x:c r="B25" s="134" t="n">
        <x:f>B21*B24</x:f>
        <x:v>3020</x:v>
      </x:c>
      <x:c r="C25" s="135" t="str">
        <x:v>USD</x:v>
      </x:c>
      <x:c r="D25" s="135" t="str">
        <x:f>IF(B25&lt;=B19,"WITHIN CAP","FAIL")</x:f>
        <x:v>WITHIN CAP</x:v>
      </x:c>
      <x:c r="E25" s="135" t="str">
        <x:v>Position size x max loss</x:v>
      </x:c>
      <x:c r="F25" s="136" t="str">
        <x:v>Must not exceed budget</x:v>
      </x:c>
    </x:row>
  </x:sheetData>
  <x:mergeCells>
    <x:mergeCell ref="A1:F2"/>
  </x:mergeCells>
  <x:conditionalFormatting sqref="D18:D25">
    <x:cfRule type="expression" dxfId="0" priority="1">
      <x:formula>OR(D18="FAIL",D18="REJECT")</x:formula>
    </x:cfRule>
    <x:cfRule type="expression" dxfId="1" priority="2">
      <x:formula>OR(D18="OK",D18="WITHIN CAP",D18="SIZE AVAILABLE")</x:formula>
    </x:cfRule>
    <x:cfRule type="expression" dxfId="2" priority="3">
      <x:formula>D18="ZERO CONTRACTS"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115" t="str">
        <x:v>Expiry Scenario P&amp;L - formula driven</x:v>
      </x:c>
      <x:c r="B1" s="116"/>
      <x:c r="C1" s="116"/>
      <x:c r="D1" s="116"/>
      <x:c r="E1" s="116"/>
      <x:c r="F1" s="116"/>
      <x:c r="G1" s="116"/>
      <x:c r="H1" s="117"/>
    </x:row>
    <x:row r="2">
      <x:c r="A2" s="118"/>
      <x:c r="B2" s="119"/>
      <x:c r="C2" s="119"/>
      <x:c r="D2" s="119"/>
      <x:c r="E2" s="119"/>
      <x:c r="F2" s="119"/>
      <x:c r="G2" s="119"/>
      <x:c r="H2" s="120"/>
    </x:row>
    <x:row r="3">
      <x:c r="A3" s="59"/>
      <x:c r="B3" s="60"/>
      <x:c r="C3" s="60"/>
      <x:c r="D3" s="60"/>
      <x:c r="E3" s="60"/>
      <x:c r="F3" s="60"/>
      <x:c r="G3" s="60"/>
      <x:c r="H3" s="61"/>
    </x:row>
    <x:row r="4">
      <x:c r="A4" s="121" t="str">
        <x:v>Scenario</x:v>
      </x:c>
      <x:c r="B4" s="122" t="str">
        <x:v>Expiry cocoa price</x:v>
      </x:c>
      <x:c r="C4" s="122" t="str">
        <x:v>Long-call payoff</x:v>
      </x:c>
      <x:c r="D4" s="122" t="str">
        <x:v>Short-call payoff</x:v>
      </x:c>
      <x:c r="E4" s="122" t="str">
        <x:v>Net P&amp;L / spread</x:v>
      </x:c>
      <x:c r="F4" s="122" t="str">
        <x:v>Total P&amp;L</x:v>
      </x:c>
      <x:c r="G4" s="122" t="str">
        <x:v>Return on max loss</x:v>
      </x:c>
      <x:c r="H4" s="61"/>
    </x:row>
    <x:row r="5">
      <x:c r="A5" s="59" t="str">
        <x:v>Severe downside</x:v>
      </x:c>
      <x:c r="B5" s="149" t="n">
        <x:v>3500</x:v>
      </x:c>
      <x:c r="C5" s="150" t="n">
        <x:f>MAX(B5-'Trade Inputs'!$B$8,0)*'Trade Inputs'!$B$12</x:f>
        <x:v>0</x:v>
      </x:c>
      <x:c r="D5" s="150" t="n">
        <x:f>-MAX(B5-'Trade Inputs'!$B$9,0)*'Trade Inputs'!$B$12</x:f>
        <x:v>0</x:v>
      </x:c>
      <x:c r="E5" s="150" t="n">
        <x:f>C5+D5-'Trade Inputs'!$B$10*'Trade Inputs'!$B$12-'Trade Inputs'!$B$11</x:f>
        <x:v>-3020</x:v>
      </x:c>
      <x:c r="F5" s="150" t="n">
        <x:f>E5*'Trade Inputs'!$B$24</x:f>
        <x:v>-3020</x:v>
      </x:c>
      <x:c r="G5" s="151" t="n">
        <x:f>IF('Trade Inputs'!$B$21=0,0,E5/'Trade Inputs'!$B$21)</x:f>
        <x:v>-1</x:v>
      </x:c>
      <x:c r="H5" s="61"/>
    </x:row>
    <x:row r="6">
      <x:c r="A6" s="59" t="str">
        <x:v>Downside</x:v>
      </x:c>
      <x:c r="B6" s="149" t="n">
        <x:v>4500</x:v>
      </x:c>
      <x:c r="C6" s="150" t="n">
        <x:f>MAX(B6-'Trade Inputs'!$B$8,0)*'Trade Inputs'!$B$12</x:f>
        <x:v>0</x:v>
      </x:c>
      <x:c r="D6" s="150" t="n">
        <x:f>-MAX(B6-'Trade Inputs'!$B$9,0)*'Trade Inputs'!$B$12</x:f>
        <x:v>0</x:v>
      </x:c>
      <x:c r="E6" s="150" t="n">
        <x:f>C6+D6-'Trade Inputs'!$B$10*'Trade Inputs'!$B$12-'Trade Inputs'!$B$11</x:f>
        <x:v>-3020</x:v>
      </x:c>
      <x:c r="F6" s="150" t="n">
        <x:f>E6*'Trade Inputs'!$B$24</x:f>
        <x:v>-3020</x:v>
      </x:c>
      <x:c r="G6" s="151" t="n">
        <x:f>IF('Trade Inputs'!$B$21=0,0,E6/'Trade Inputs'!$B$21)</x:f>
        <x:v>-1</x:v>
      </x:c>
      <x:c r="H6" s="61"/>
    </x:row>
    <x:row r="7">
      <x:c r="A7" s="59" t="str">
        <x:v>Below strike</x:v>
      </x:c>
      <x:c r="B7" s="149" t="n">
        <x:v>5300</x:v>
      </x:c>
      <x:c r="C7" s="150" t="n">
        <x:f>MAX(B7-'Trade Inputs'!$B$8,0)*'Trade Inputs'!$B$12</x:f>
        <x:v>0</x:v>
      </x:c>
      <x:c r="D7" s="150" t="n">
        <x:f>-MAX(B7-'Trade Inputs'!$B$9,0)*'Trade Inputs'!$B$12</x:f>
        <x:v>0</x:v>
      </x:c>
      <x:c r="E7" s="150" t="n">
        <x:f>C7+D7-'Trade Inputs'!$B$10*'Trade Inputs'!$B$12-'Trade Inputs'!$B$11</x:f>
        <x:v>-3020</x:v>
      </x:c>
      <x:c r="F7" s="150" t="n">
        <x:f>E7*'Trade Inputs'!$B$24</x:f>
        <x:v>-3020</x:v>
      </x:c>
      <x:c r="G7" s="151" t="n">
        <x:f>IF('Trade Inputs'!$B$21=0,0,E7/'Trade Inputs'!$B$21)</x:f>
        <x:v>-1</x:v>
      </x:c>
      <x:c r="H7" s="61"/>
    </x:row>
    <x:row r="8">
      <x:c r="A8" s="59" t="str">
        <x:v>At lower strike</x:v>
      </x:c>
      <x:c r="B8" s="149" t="n">
        <x:v>5500</x:v>
      </x:c>
      <x:c r="C8" s="150" t="n">
        <x:f>MAX(B8-'Trade Inputs'!$B$8,0)*'Trade Inputs'!$B$12</x:f>
        <x:v>0</x:v>
      </x:c>
      <x:c r="D8" s="150" t="n">
        <x:f>-MAX(B8-'Trade Inputs'!$B$9,0)*'Trade Inputs'!$B$12</x:f>
        <x:v>0</x:v>
      </x:c>
      <x:c r="E8" s="150" t="n">
        <x:f>C8+D8-'Trade Inputs'!$B$10*'Trade Inputs'!$B$12-'Trade Inputs'!$B$11</x:f>
        <x:v>-3020</x:v>
      </x:c>
      <x:c r="F8" s="150" t="n">
        <x:f>E8*'Trade Inputs'!$B$24</x:f>
        <x:v>-3020</x:v>
      </x:c>
      <x:c r="G8" s="151" t="n">
        <x:f>IF('Trade Inputs'!$B$21=0,0,E8/'Trade Inputs'!$B$21)</x:f>
        <x:v>-1</x:v>
      </x:c>
      <x:c r="H8" s="61"/>
    </x:row>
    <x:row r="9">
      <x:c r="A9" s="59" t="str">
        <x:v>Partial recovery</x:v>
      </x:c>
      <x:c r="B9" s="149" t="n">
        <x:v>5800</x:v>
      </x:c>
      <x:c r="C9" s="150" t="n">
        <x:f>MAX(B9-'Trade Inputs'!$B$8,0)*'Trade Inputs'!$B$12</x:f>
        <x:v>3000</x:v>
      </x:c>
      <x:c r="D9" s="150" t="n">
        <x:f>-MAX(B9-'Trade Inputs'!$B$9,0)*'Trade Inputs'!$B$12</x:f>
        <x:v>0</x:v>
      </x:c>
      <x:c r="E9" s="150" t="n">
        <x:f>C9+D9-'Trade Inputs'!$B$10*'Trade Inputs'!$B$12-'Trade Inputs'!$B$11</x:f>
        <x:v>-20</x:v>
      </x:c>
      <x:c r="F9" s="150" t="n">
        <x:f>E9*'Trade Inputs'!$B$24</x:f>
        <x:v>-20</x:v>
      </x:c>
      <x:c r="G9" s="151" t="n">
        <x:f>IF('Trade Inputs'!$B$21=0,0,E9/'Trade Inputs'!$B$21)</x:f>
        <x:v>-0.006622516556291391</x:v>
      </x:c>
      <x:c r="H9" s="61"/>
    </x:row>
    <x:row r="10">
      <x:c r="A10" s="59" t="str">
        <x:v>Near upper strike</x:v>
      </x:c>
      <x:c r="B10" s="149" t="n">
        <x:v>6300</x:v>
      </x:c>
      <x:c r="C10" s="150" t="n">
        <x:f>MAX(B10-'Trade Inputs'!$B$8,0)*'Trade Inputs'!$B$12</x:f>
        <x:v>8000</x:v>
      </x:c>
      <x:c r="D10" s="150" t="n">
        <x:f>-MAX(B10-'Trade Inputs'!$B$9,0)*'Trade Inputs'!$B$12</x:f>
        <x:v>0</x:v>
      </x:c>
      <x:c r="E10" s="150" t="n">
        <x:f>C10+D10-'Trade Inputs'!$B$10*'Trade Inputs'!$B$12-'Trade Inputs'!$B$11</x:f>
        <x:v>4980</x:v>
      </x:c>
      <x:c r="F10" s="150" t="n">
        <x:f>E10*'Trade Inputs'!$B$24</x:f>
        <x:v>4980</x:v>
      </x:c>
      <x:c r="G10" s="151" t="n">
        <x:f>IF('Trade Inputs'!$B$21=0,0,E10/'Trade Inputs'!$B$21)</x:f>
        <x:v>1.6490066225165563</x:v>
      </x:c>
      <x:c r="H10" s="61"/>
    </x:row>
    <x:row r="11">
      <x:c r="A11" s="59" t="str">
        <x:v>At upper strike</x:v>
      </x:c>
      <x:c r="B11" s="149" t="n">
        <x:v>6350</x:v>
      </x:c>
      <x:c r="C11" s="150" t="n">
        <x:f>MAX(B11-'Trade Inputs'!$B$8,0)*'Trade Inputs'!$B$12</x:f>
        <x:v>8500</x:v>
      </x:c>
      <x:c r="D11" s="150" t="n">
        <x:f>-MAX(B11-'Trade Inputs'!$B$9,0)*'Trade Inputs'!$B$12</x:f>
        <x:v>0</x:v>
      </x:c>
      <x:c r="E11" s="150" t="n">
        <x:f>C11+D11-'Trade Inputs'!$B$10*'Trade Inputs'!$B$12-'Trade Inputs'!$B$11</x:f>
        <x:v>5480</x:v>
      </x:c>
      <x:c r="F11" s="150" t="n">
        <x:f>E11*'Trade Inputs'!$B$24</x:f>
        <x:v>5480</x:v>
      </x:c>
      <x:c r="G11" s="151" t="n">
        <x:f>IF('Trade Inputs'!$B$21=0,0,E11/'Trade Inputs'!$B$21)</x:f>
        <x:v>1.814569536423841</x:v>
      </x:c>
      <x:c r="H11" s="61"/>
    </x:row>
    <x:row r="12">
      <x:c r="A12" s="59" t="str">
        <x:v>Upside shock</x:v>
      </x:c>
      <x:c r="B12" s="149" t="n">
        <x:v>7200</x:v>
      </x:c>
      <x:c r="C12" s="150" t="n">
        <x:f>MAX(B12-'Trade Inputs'!$B$8,0)*'Trade Inputs'!$B$12</x:f>
        <x:v>17000</x:v>
      </x:c>
      <x:c r="D12" s="150" t="n">
        <x:f>-MAX(B12-'Trade Inputs'!$B$9,0)*'Trade Inputs'!$B$12</x:f>
        <x:v>-8500</x:v>
      </x:c>
      <x:c r="E12" s="150" t="n">
        <x:f>C12+D12-'Trade Inputs'!$B$10*'Trade Inputs'!$B$12-'Trade Inputs'!$B$11</x:f>
        <x:v>5480</x:v>
      </x:c>
      <x:c r="F12" s="150" t="n">
        <x:f>E12*'Trade Inputs'!$B$24</x:f>
        <x:v>5480</x:v>
      </x:c>
      <x:c r="G12" s="151" t="n">
        <x:f>IF('Trade Inputs'!$B$21=0,0,E12/'Trade Inputs'!$B$21)</x:f>
        <x:v>1.814569536423841</x:v>
      </x:c>
      <x:c r="H12" s="61"/>
    </x:row>
    <x:row r="13">
      <x:c r="A13" s="59" t="str">
        <x:v>Extreme upside</x:v>
      </x:c>
      <x:c r="B13" s="149" t="n">
        <x:v>8500</x:v>
      </x:c>
      <x:c r="C13" s="150" t="n">
        <x:f>MAX(B13-'Trade Inputs'!$B$8,0)*'Trade Inputs'!$B$12</x:f>
        <x:v>30000</x:v>
      </x:c>
      <x:c r="D13" s="150" t="n">
        <x:f>-MAX(B13-'Trade Inputs'!$B$9,0)*'Trade Inputs'!$B$12</x:f>
        <x:v>-21500</x:v>
      </x:c>
      <x:c r="E13" s="150" t="n">
        <x:f>C13+D13-'Trade Inputs'!$B$10*'Trade Inputs'!$B$12-'Trade Inputs'!$B$11</x:f>
        <x:v>5480</x:v>
      </x:c>
      <x:c r="F13" s="150" t="n">
        <x:f>E13*'Trade Inputs'!$B$24</x:f>
        <x:v>5480</x:v>
      </x:c>
      <x:c r="G13" s="151" t="n">
        <x:f>IF('Trade Inputs'!$B$21=0,0,E13/'Trade Inputs'!$B$21)</x:f>
        <x:v>1.814569536423841</x:v>
      </x:c>
      <x:c r="H13" s="61"/>
    </x:row>
    <x:row r="14">
      <x:c r="A14" s="59"/>
      <x:c r="B14" s="60"/>
      <x:c r="C14" s="60"/>
      <x:c r="D14" s="60"/>
      <x:c r="E14" s="60"/>
      <x:c r="F14" s="60"/>
      <x:c r="G14" s="60"/>
      <x:c r="H14" s="61"/>
    </x:row>
    <x:row r="15">
      <x:c r="A15" s="152" t="str">
        <x:v>Expiry payoff only. Early-exit value also depends on implied volatility, rates, time decay, bid/ask and liquidity; those require licensed historical option quotes and are intentionally not fabricated here.</x:v>
      </x:c>
      <x:c r="B15" s="153"/>
      <x:c r="C15" s="153"/>
      <x:c r="D15" s="153"/>
      <x:c r="E15" s="153"/>
      <x:c r="F15" s="153"/>
      <x:c r="G15" s="153"/>
      <x:c r="H15" s="61"/>
    </x:row>
    <x:row r="16">
      <x:c r="A16" s="152"/>
      <x:c r="B16" s="153"/>
      <x:c r="C16" s="153"/>
      <x:c r="D16" s="153"/>
      <x:c r="E16" s="153"/>
      <x:c r="F16" s="153"/>
      <x:c r="G16" s="153"/>
      <x:c r="H16" s="61"/>
    </x:row>
    <x:row r="17">
      <x:c r="A17" s="154"/>
      <x:c r="B17" s="155"/>
      <x:c r="C17" s="155"/>
      <x:c r="D17" s="155"/>
      <x:c r="E17" s="155"/>
      <x:c r="F17" s="155"/>
      <x:c r="G17" s="155"/>
      <x:c r="H17" s="156"/>
    </x:row>
  </x:sheetData>
  <x:mergeCells>
    <x:mergeCell ref="A1:H2"/>
    <x:mergeCell ref="A15:G17"/>
  </x:mergeCells>
  <x:pageMargins left="0.7" right="0.7" top="0.75" bottom="0.75" header="0.3" footer="0.3"/>
  <x:drawing xmlns:r="http://schemas.openxmlformats.org/officeDocument/2006/relationships" r:id="R0311f8987164451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45" hidden="0" customWidth="1"/>
  </x:cols>
  <x:sheetData>
    <x:row r="1">
      <x:c r="A1" s="115" t="str">
        <x:v>Model Checks</x:v>
      </x:c>
      <x:c r="B1" s="116"/>
      <x:c r="C1" s="116"/>
      <x:c r="D1" s="116"/>
      <x:c r="E1" s="116"/>
      <x:c r="F1" s="116"/>
      <x:c r="G1" s="117"/>
    </x:row>
    <x:row r="2">
      <x:c r="A2" s="118"/>
      <x:c r="B2" s="119"/>
      <x:c r="C2" s="119"/>
      <x:c r="D2" s="119"/>
      <x:c r="E2" s="119"/>
      <x:c r="F2" s="119"/>
      <x:c r="G2" s="120"/>
    </x:row>
    <x:row r="3">
      <x:c r="A3" s="59"/>
      <x:c r="B3" s="60"/>
      <x:c r="C3" s="60"/>
      <x:c r="D3" s="60"/>
      <x:c r="E3" s="60"/>
      <x:c r="F3" s="60"/>
      <x:c r="G3" s="61"/>
    </x:row>
    <x:row r="4">
      <x:c r="A4" s="121" t="str">
        <x:v>Check</x:v>
      </x:c>
      <x:c r="B4" s="122" t="str">
        <x:v>Actual</x:v>
      </x:c>
      <x:c r="C4" s="122" t="str">
        <x:v>Expected</x:v>
      </x:c>
      <x:c r="D4" s="122" t="str">
        <x:v>Difference</x:v>
      </x:c>
      <x:c r="E4" s="122" t="str">
        <x:v>Tolerance</x:v>
      </x:c>
      <x:c r="F4" s="122" t="str">
        <x:v>Status</x:v>
      </x:c>
      <x:c r="G4" s="123" t="str">
        <x:v>Fix hint</x:v>
      </x:c>
    </x:row>
    <x:row r="5">
      <x:c r="A5" s="124" t="str">
        <x:v>Upper strike exceeds lower strike</x:v>
      </x:c>
      <x:c r="B5" s="66" t="n">
        <x:f>'Trade Inputs'!B9-'Trade Inputs'!B8</x:f>
        <x:v>850</x:v>
      </x:c>
      <x:c r="C5" s="66" t="n">
        <x:v>1</x:v>
      </x:c>
      <x:c r="D5" s="66" t="n">
        <x:f>B5-C5</x:f>
        <x:v>849</x:v>
      </x:c>
      <x:c r="E5" s="66" t="n">
        <x:v>0</x:v>
      </x:c>
      <x:c r="F5" s="66" t="str">
        <x:f>IF(B5&gt;=C5,"OK","FAIL")</x:f>
        <x:v>OK</x:v>
      </x:c>
      <x:c r="G5" s="126" t="str">
        <x:v>Increase K2 or lower K1</x:v>
      </x:c>
    </x:row>
    <x:row r="6">
      <x:c r="A6" s="124" t="str">
        <x:v>Debit does not exceed rule threshold</x:v>
      </x:c>
      <x:c r="B6" s="66" t="n">
        <x:f>'Trade Inputs'!B20</x:f>
        <x:v>0.35294117647058826</x:v>
      </x:c>
      <x:c r="C6" s="66" t="n">
        <x:v>0.4</x:v>
      </x:c>
      <x:c r="D6" s="66" t="n">
        <x:f>MAX(B6-C6,0)</x:f>
        <x:v>0</x:v>
      </x:c>
      <x:c r="E6" s="66" t="n">
        <x:v>0</x:v>
      </x:c>
      <x:c r="F6" s="66" t="str">
        <x:f>IF(D6&lt;=E6,"OK","FAIL")</x:f>
        <x:v>OK</x:v>
      </x:c>
      <x:c r="G6" s="126" t="str">
        <x:v>Lower the net debit or reject the trade</x:v>
      </x:c>
    </x:row>
    <x:row r="7">
      <x:c r="A7" s="124" t="str">
        <x:v>Max loss is positive and finite</x:v>
      </x:c>
      <x:c r="B7" s="66" t="n">
        <x:f>'Trade Inputs'!B21</x:f>
        <x:v>3020</x:v>
      </x:c>
      <x:c r="C7" s="66" t="n">
        <x:v>1</x:v>
      </x:c>
      <x:c r="D7" s="66" t="n">
        <x:f>MIN(B7-C7,0)</x:f>
        <x:v>0</x:v>
      </x:c>
      <x:c r="E7" s="66" t="n">
        <x:v>0</x:v>
      </x:c>
      <x:c r="F7" s="66" t="str">
        <x:f>IF(B7&gt;=C7,"OK","FAIL")</x:f>
        <x:v>OK</x:v>
      </x:c>
      <x:c r="G7" s="126" t="str">
        <x:v>Check debit, fees and contract unit</x:v>
      </x:c>
    </x:row>
    <x:row r="8">
      <x:c r="A8" s="124" t="str">
        <x:v>Position size is integer and non-negative</x:v>
      </x:c>
      <x:c r="B8" s="66" t="n">
        <x:f>'Trade Inputs'!B24</x:f>
        <x:v>1</x:v>
      </x:c>
      <x:c r="C8" s="66" t="n">
        <x:v>0</x:v>
      </x:c>
      <x:c r="D8" s="66" t="n">
        <x:f>B8-INT(B8)</x:f>
        <x:v>0</x:v>
      </x:c>
      <x:c r="E8" s="66" t="n">
        <x:v>0</x:v>
      </x:c>
      <x:c r="F8" s="66" t="str">
        <x:f>IF(AND(B8&gt;=C8,D8=E8),"OK","FAIL")</x:f>
        <x:v>OK</x:v>
      </x:c>
      <x:c r="G8" s="126" t="str">
        <x:v>Use the floor-based sizing formula</x:v>
      </x:c>
    </x:row>
    <x:row r="9">
      <x:c r="A9" s="124" t="str">
        <x:v>Risk budget remaining is non-negative</x:v>
      </x:c>
      <x:c r="B9" s="66" t="n">
        <x:f>'Trade Inputs'!B19-'Trade Inputs'!B25</x:f>
        <x:v>1980</x:v>
      </x:c>
      <x:c r="C9" s="66" t="n">
        <x:v>0</x:v>
      </x:c>
      <x:c r="D9" s="66" t="n">
        <x:f>MIN(B9-C9,0)</x:f>
        <x:v>0</x:v>
      </x:c>
      <x:c r="E9" s="66" t="n">
        <x:v>0</x:v>
      </x:c>
      <x:c r="F9" s="66" t="str">
        <x:f>IF(D9&lt;=E9,"OK","FAIL")</x:f>
        <x:v>OK</x:v>
      </x:c>
      <x:c r="G9" s="126" t="str">
        <x:v>Reduce contracts if negative; zero position is valid</x:v>
      </x:c>
    </x:row>
    <x:row r="10">
      <x:c r="A10" s="124" t="str">
        <x:v>Contract unit matches ICE specification</x:v>
      </x:c>
      <x:c r="B10" s="66" t="n">
        <x:f>'Trade Inputs'!B12</x:f>
        <x:v>10</x:v>
      </x:c>
      <x:c r="C10" s="66" t="n">
        <x:v>10</x:v>
      </x:c>
      <x:c r="D10" s="66" t="n">
        <x:f>B10-C10</x:f>
        <x:v>0</x:v>
      </x:c>
      <x:c r="E10" s="66" t="n">
        <x:v>0</x:v>
      </x:c>
      <x:c r="F10" s="66" t="str">
        <x:f>IF(D10=E10,"OK","FAIL")</x:f>
        <x:v>OK</x:v>
      </x:c>
      <x:c r="G10" s="126" t="str">
        <x:v>Use 10 metric tonnes for ICE US cocoa</x:v>
      </x:c>
    </x:row>
    <x:row r="11">
      <x:c r="A11" s="124" t="str">
        <x:v>Illustrative input warning remains visible</x:v>
      </x:c>
      <x:c r="B11" s="66" t="n">
        <x:f>1</x:f>
        <x:v>1</x:v>
      </x:c>
      <x:c r="C11" s="66" t="n">
        <x:v>1</x:v>
      </x:c>
      <x:c r="D11" s="66" t="n">
        <x:f>B11-C11</x:f>
        <x:v>0</x:v>
      </x:c>
      <x:c r="E11" s="66" t="n">
        <x:v>0</x:v>
      </x:c>
      <x:c r="F11" s="66" t="str">
        <x:f>IF(D11=E11,"OK","FAIL")</x:f>
        <x:v>OK</x:v>
      </x:c>
      <x:c r="G11" s="126" t="str">
        <x:v>Never relabel illustrative inputs as market data</x:v>
      </x:c>
    </x:row>
    <x:row r="12">
      <x:c r="A12" s="124"/>
      <x:c r="B12" s="66"/>
      <x:c r="C12" s="66"/>
      <x:c r="D12" s="66"/>
      <x:c r="E12" s="66"/>
      <x:c r="F12" s="66"/>
      <x:c r="G12" s="126"/>
    </x:row>
    <x:row r="13">
      <x:c r="A13" s="133" t="str">
        <x:v>Overall model status</x:v>
      </x:c>
      <x:c r="B13" s="135"/>
      <x:c r="C13" s="135"/>
      <x:c r="D13" s="135"/>
      <x:c r="E13" s="135"/>
      <x:c r="F13" s="135" t="str">
        <x:f>IF(COUNTIF(F5:F11,"FAIL")=0,"OK","REVIEW")</x:f>
        <x:v>OK</x:v>
      </x:c>
      <x:c r="G13" s="136"/>
    </x:row>
  </x:sheetData>
  <x:mergeCells>
    <x:mergeCell ref="A1:G2"/>
    <x:mergeCell ref="A13:E13"/>
  </x:mergeCells>
  <x:conditionalFormatting sqref="F5:F13">
    <x:cfRule type="expression" dxfId="3" priority="1">
      <x:formula>F5="OK"</x:formula>
    </x:cfRule>
    <x:cfRule type="expression" dxfId="4" priority="2">
      <x:formula>OR(F5="FAIL",F5="REVIEW")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68" hidden="0" customWidth="1"/>
    <x:col min="3" max="3" width="34" hidden="0" customWidth="1"/>
    <x:col min="4" max="4" width="34" hidden="0" customWidth="1"/>
    <x:col min="5" max="5" width="34" hidden="0" customWidth="1"/>
    <x:col min="6" max="6" width="34" hidden="0" customWidth="1"/>
  </x:cols>
  <x:sheetData>
    <x:row r="1">
      <x:c r="A1" s="115" t="str">
        <x:v>Sources and Audit Boundary</x:v>
      </x:c>
      <x:c r="B1" s="116"/>
      <x:c r="C1" s="116"/>
      <x:c r="D1" s="116"/>
      <x:c r="E1" s="116"/>
      <x:c r="F1" s="117"/>
    </x:row>
    <x:row r="2">
      <x:c r="A2" s="118"/>
      <x:c r="B2" s="119"/>
      <x:c r="C2" s="119"/>
      <x:c r="D2" s="119"/>
      <x:c r="E2" s="119"/>
      <x:c r="F2" s="120"/>
    </x:row>
    <x:row r="3">
      <x:c r="A3" s="59"/>
      <x:c r="B3" s="60"/>
      <x:c r="C3" s="60"/>
      <x:c r="D3" s="60"/>
      <x:c r="E3" s="60"/>
      <x:c r="F3" s="61"/>
    </x:row>
    <x:row r="4">
      <x:c r="A4" s="121" t="str">
        <x:v>Source</x:v>
      </x:c>
      <x:c r="B4" s="122" t="str">
        <x:v>URL</x:v>
      </x:c>
      <x:c r="C4" s="122" t="str">
        <x:v>Used for</x:v>
      </x:c>
      <x:c r="D4" s="122" t="str">
        <x:v>Availability</x:v>
      </x:c>
      <x:c r="E4" s="122" t="str">
        <x:v>Licence / rights</x:v>
      </x:c>
      <x:c r="F4" s="123" t="str">
        <x:v>Boundary</x:v>
      </x:c>
    </x:row>
    <x:row r="5">
      <x:c r="A5" s="124" t="str">
        <x:v>ICE Cocoa Futures</x:v>
      </x:c>
      <x:c r="B5" s="66" t="str">
        <x:v>https://www.ice.com/products/7/Cocoa-Futures</x:v>
      </x:c>
      <x:c r="C5" s="66" t="str">
        <x:v>Contract unit and delivery terms</x:v>
      </x:c>
      <x:c r="D5" s="66" t="str">
        <x:v>Public specification</x:v>
      </x:c>
      <x:c r="E5" s="66" t="str">
        <x:v>ICE terms apply</x:v>
      </x:c>
      <x:c r="F5" s="126" t="str">
        <x:v>No raw ICE price data embedded</x:v>
      </x:c>
    </x:row>
    <x:row r="6">
      <x:c r="A6" s="124" t="str">
        <x:v>ICE Cocoa Options</x:v>
      </x:c>
      <x:c r="B6" s="66" t="str">
        <x:v>https://www.ice.com/api/productguide/spec/8/pdf</x:v>
      </x:c>
      <x:c r="C6" s="66" t="str">
        <x:v>Option structure and expiry terms</x:v>
      </x:c>
      <x:c r="D6" s="66" t="str">
        <x:v>Public specification</x:v>
      </x:c>
      <x:c r="E6" s="66" t="str">
        <x:v>ICE terms apply</x:v>
      </x:c>
      <x:c r="F6" s="126" t="str">
        <x:v>Quotes require licensed input</x:v>
      </x:c>
    </x:row>
    <x:row r="7">
      <x:c r="A7" s="124" t="str">
        <x:v>CFTC COT</x:v>
      </x:c>
      <x:c r="B7" s="66" t="str">
        <x:v>https://www.cftc.gov/MarketReports/CommitmentsofTraders/ReleaseSchedule/index.htm</x:v>
      </x:c>
      <x:c r="C7" s="66" t="str">
        <x:v>Positioning signal timing</x:v>
      </x:c>
      <x:c r="D7" s="66" t="str">
        <x:v>Release-time controlled</x:v>
      </x:c>
      <x:c r="E7" s="66" t="str">
        <x:v>US government source</x:v>
      </x:c>
      <x:c r="F7" s="126" t="str">
        <x:v>Aggregated across expiries</x:v>
      </x:c>
    </x:row>
    <x:row r="8">
      <x:c r="A8" s="124" t="str">
        <x:v>World Bank commodity data</x:v>
      </x:c>
      <x:c r="B8" s="66" t="str">
        <x:v>https://datacatalog.worldbank.org/public-licenses</x:v>
      </x:c>
      <x:c r="C8" s="66" t="str">
        <x:v>Public proxy validation only</x:v>
      </x:c>
      <x:c r="D8" s="66" t="str">
        <x:v>Monthly, retrospective</x:v>
      </x:c>
      <x:c r="E8" s="66" t="str">
        <x:v>Source attribution required</x:v>
      </x:c>
      <x:c r="F8" s="126" t="str">
        <x:v>Not an executable futures return</x:v>
      </x:c>
    </x:row>
    <x:row r="9">
      <x:c r="A9" s="124" t="str">
        <x:v>Project preregistration</x:v>
      </x:c>
      <x:c r="B9" s="66" t="str">
        <x:v>https://github.com/ebrahimcahlon212-sketch/cocoa-positioning-regime-study/blob/main/PREREGISTRATION.md</x:v>
      </x:c>
      <x:c r="C9" s="66" t="str">
        <x:v>Frozen signal and test rule</x:v>
      </x:c>
      <x:c r="D9" s="66" t="str">
        <x:v>Committed before forward outcomes</x:v>
      </x:c>
      <x:c r="E9" s="66" t="str">
        <x:v>Repository licence</x:v>
      </x:c>
      <x:c r="F9" s="126" t="str">
        <x:v>Historical results remain retrospective</x:v>
      </x:c>
    </x:row>
    <x:row r="10">
      <x:c r="A10" s="124"/>
      <x:c r="B10" s="66"/>
      <x:c r="C10" s="66"/>
      <x:c r="D10" s="66"/>
      <x:c r="E10" s="66"/>
      <x:c r="F10" s="126"/>
    </x:row>
    <x:row r="11">
      <x:c r="A11" s="72" t="str">
        <x:v>The model is an educational research artifact. It does not connect to a broker, place orders, estimate suitability for any person, or replace licensed market data and professional risk controls.</x:v>
      </x:c>
      <x:c r="B11" s="73"/>
      <x:c r="C11" s="73"/>
      <x:c r="D11" s="73"/>
      <x:c r="E11" s="73"/>
      <x:c r="F11" s="74"/>
    </x:row>
    <x:row r="12">
      <x:c r="A12" s="72"/>
      <x:c r="B12" s="73"/>
      <x:c r="C12" s="73"/>
      <x:c r="D12" s="73"/>
      <x:c r="E12" s="73"/>
      <x:c r="F12" s="74"/>
    </x:row>
    <x:row r="13">
      <x:c r="A13" s="72"/>
      <x:c r="B13" s="73"/>
      <x:c r="C13" s="73"/>
      <x:c r="D13" s="73"/>
      <x:c r="E13" s="73"/>
      <x:c r="F13" s="74"/>
    </x:row>
    <x:row r="14">
      <x:c r="A14" s="75"/>
      <x:c r="B14" s="76"/>
      <x:c r="C14" s="76"/>
      <x:c r="D14" s="76"/>
      <x:c r="E14" s="76"/>
      <x:c r="F14" s="77"/>
    </x:row>
  </x:sheetData>
  <x:mergeCells>
    <x:mergeCell ref="A1:F2"/>
    <x:mergeCell ref="A11:F14"/>
  </x:mergeCells>
  <x:pageMargins left="0.7" right="0.7" top="0.75" bottom="0.75" header="0.3" footer="0.3"/>
</x:worksheet>
</file>